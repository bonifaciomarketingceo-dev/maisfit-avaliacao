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ário_Avaliações" sheetId="1" state="visible" r:id="rId1"/>
    <sheet xmlns:r="http://schemas.openxmlformats.org/officeDocument/2006/relationships" name="Histórico_Manual" sheetId="2" state="visible" r:id="rId2"/>
    <sheet xmlns:r="http://schemas.openxmlformats.org/officeDocument/2006/relationships" name="Consolidado_Mensal" sheetId="3" state="visible" r:id="rId3"/>
    <sheet xmlns:r="http://schemas.openxmlformats.org/officeDocument/2006/relationships" name="Comissões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Como_Preencher" sheetId="6" state="visible" r:id="rId6"/>
  </sheets>
  <definedNames>
    <definedName name="_xlnm._FilterDatabase" localSheetId="0" hidden="1">'Diário_Avaliações'!$A$1:$U$335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R$ 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b val="1"/>
      <color rgb="00101010"/>
      <sz val="9"/>
    </font>
    <font>
      <name val="Calibri"/>
      <sz val="12"/>
    </font>
    <font>
      <i val="1"/>
      <color rgb="00101010"/>
    </font>
    <font>
      <b val="1"/>
      <color rgb="00101010"/>
      <sz val="12"/>
    </font>
    <font>
      <b val="1"/>
    </font>
    <font>
      <b val="1"/>
      <sz val="12"/>
    </font>
    <font>
      <b val="1"/>
      <color rgb="00FFAE21"/>
      <sz val="18"/>
    </font>
    <font>
      <b val="1"/>
      <color rgb="00FFFFFF"/>
    </font>
    <font>
      <b val="1"/>
      <color rgb="00FFAE2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101010"/>
      </patternFill>
    </fill>
    <fill>
      <patternFill patternType="solid">
        <fgColor rgb="00FFAE21"/>
      </patternFill>
    </fill>
    <fill>
      <patternFill patternType="solid">
        <fgColor rgb="00F7F7F7"/>
      </patternFill>
    </fill>
    <fill>
      <patternFill patternType="solid">
        <fgColor rgb="00FFE8B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165" fontId="3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5" fillId="5" borderId="1" pivotButton="0" quotePrefix="0" xfId="0"/>
    <xf numFmtId="166" fontId="5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167" fontId="7" fillId="3" borderId="1" applyAlignment="1" pivotButton="0" quotePrefix="0" xfId="0">
      <alignment horizontal="center"/>
    </xf>
    <xf numFmtId="167" fontId="0" fillId="0" borderId="1" pivotButton="0" quotePrefix="0" xfId="0"/>
    <xf numFmtId="167" fontId="5" fillId="3" borderId="1" pivotButton="0" quotePrefix="0" xfId="0"/>
    <xf numFmtId="0" fontId="8" fillId="2" borderId="0" pivotButton="0" quotePrefix="0" xfId="0"/>
    <xf numFmtId="0" fontId="0" fillId="2" borderId="0" pivotButton="0" quotePrefix="0" xfId="0"/>
    <xf numFmtId="0" fontId="9" fillId="2" borderId="1" pivotButton="0" quotePrefix="0" xfId="0"/>
    <xf numFmtId="0" fontId="10" fillId="2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5">
    <dxf>
      <font>
        <b val="1"/>
        <color rgb="009C0006"/>
      </font>
      <fill>
        <patternFill patternType="solid">
          <fgColor rgb="00FFC7CE"/>
        </patternFill>
      </fill>
    </dxf>
    <dxf>
      <font>
        <color rgb="00375623"/>
      </font>
    </dxf>
    <dxf>
      <font>
        <color rgb="00375623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ill>
        <patternFill patternType="solid">
          <f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Realizado x Meta por mês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'Consolidado_Mensal'!B1</f>
            </strRef>
          </tx>
          <spPr>
            <a:solidFill xmlns:a="http://schemas.openxmlformats.org/drawingml/2006/main">
              <a:srgbClr val="BFBFBF"/>
            </a:solidFill>
            <a:ln xmlns:a="http://schemas.openxmlformats.org/drawingml/2006/main">
              <a:prstDash val="solid"/>
            </a:ln>
          </spPr>
          <cat>
            <numRef>
              <f>'Consolidado_Mensal'!$A$2:$A$12</f>
            </numRef>
          </cat>
          <val>
            <numRef>
              <f>'Consolidado_Mensal'!$B$2:$B$12</f>
            </numRef>
          </val>
        </ser>
        <ser>
          <idx val="1"/>
          <order val="1"/>
          <tx>
            <strRef>
              <f>'Consolidado_Mensal'!C1</f>
            </strRef>
          </tx>
          <spPr>
            <a:solidFill xmlns:a="http://schemas.openxmlformats.org/drawingml/2006/main">
              <a:srgbClr val="FFAE21"/>
            </a:solidFill>
            <a:ln xmlns:a="http://schemas.openxmlformats.org/drawingml/2006/main">
              <a:prstDash val="solid"/>
            </a:ln>
          </spPr>
          <cat>
            <numRef>
              <f>'Consolidado_Mensal'!$A$2:$A$12</f>
            </numRef>
          </cat>
          <val>
            <numRef>
              <f>'Consolidado_Mensal'!$C$2:$C$12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Avaliações por dia da semana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'Dashboard'!O4</f>
            </strRef>
          </tx>
          <spPr>
            <a:solidFill xmlns:a="http://schemas.openxmlformats.org/drawingml/2006/main">
              <a:srgbClr val="FFAE21"/>
            </a:solidFill>
            <a:ln xmlns:a="http://schemas.openxmlformats.org/drawingml/2006/main">
              <a:prstDash val="solid"/>
            </a:ln>
          </spPr>
          <cat>
            <numRef>
              <f>'Dashboard'!$N$5:$N$11</f>
            </numRef>
          </cat>
          <val>
            <numRef>
              <f>'Dashboard'!$O$5:$O$11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Avaliações por professor no ano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'Dashboard'!O14</f>
            </strRef>
          </tx>
          <spPr>
            <a:solidFill xmlns:a="http://schemas.openxmlformats.org/drawingml/2006/main">
              <a:srgbClr val="FFAE21"/>
            </a:solidFill>
            <a:ln xmlns:a="http://schemas.openxmlformats.org/drawingml/2006/main">
              <a:prstDash val="solid"/>
            </a:ln>
          </spPr>
          <cat>
            <numRef>
              <f>'Dashboard'!$N$15:$N$22</f>
            </numRef>
          </cat>
          <val>
            <numRef>
              <f>'Dashboard'!$O$15:$O$22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Mulheres x Homens no ano</a:t>
            </a:r>
          </a:p>
        </rich>
      </tx>
    </title>
    <plotArea>
      <pieChart>
        <varyColors val="1"/>
        <ser>
          <idx val="0"/>
          <order val="0"/>
          <tx>
            <strRef>
              <f>'Dashboard'!O24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FAE21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F3F3F"/>
              </a:solidFill>
              <a:ln xmlns:a="http://schemas.openxmlformats.org/drawingml/2006/main">
                <a:prstDash val="solid"/>
              </a:ln>
            </spPr>
          </dPt>
          <cat>
            <numRef>
              <f>'Dashboard'!$N$25:$N$26</f>
            </numRef>
          </cat>
          <val>
            <numRef>
              <f>'Dashboard'!$O$25:$O$26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21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3</row>
      <rowOff>0</rowOff>
    </from>
    <ext cx="43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21</row>
      <rowOff>0</rowOff>
    </from>
    <ext cx="43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5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15" customWidth="1" min="3" max="3"/>
    <col width="8" customWidth="1" min="4" max="4"/>
    <col width="8" customWidth="1" min="5" max="5"/>
    <col width="9.5" customWidth="1" min="6" max="6"/>
    <col width="9" customWidth="1" min="7" max="7"/>
    <col width="9" customWidth="1" min="8" max="8"/>
    <col width="8" customWidth="1" min="9" max="9"/>
    <col width="6.5" customWidth="1" min="10" max="10"/>
    <col width="6.5" customWidth="1" min="11" max="11"/>
    <col width="9" customWidth="1" min="12" max="12"/>
    <col width="8" customWidth="1" min="13" max="13"/>
    <col width="10" customWidth="1" min="14" max="14"/>
    <col width="8" customWidth="1" min="15" max="15"/>
    <col width="8" customWidth="1" min="16" max="16"/>
    <col width="9" customWidth="1" min="17" max="17"/>
    <col width="9" customWidth="1" min="18" max="18"/>
    <col width="9" customWidth="1" min="19" max="19"/>
    <col width="22" customWidth="1" min="20" max="20"/>
    <col width="26" customWidth="1" min="21" max="21"/>
  </cols>
  <sheetData>
    <row r="1" ht="30" customHeight="1">
      <c r="A1" s="1" t="inlineStr">
        <is>
          <t>Data</t>
        </is>
      </c>
      <c r="B1" s="1" t="inlineStr">
        <is>
          <t>Mês</t>
        </is>
      </c>
      <c r="C1" s="1" t="inlineStr">
        <is>
          <t>Dia da Semana</t>
        </is>
      </c>
      <c r="D1" s="1" t="inlineStr">
        <is>
          <t>Qtd.</t>
        </is>
      </c>
      <c r="E1" s="1" t="inlineStr">
        <is>
          <t>Meta</t>
        </is>
      </c>
      <c r="F1" s="1" t="inlineStr">
        <is>
          <t>% do Mês</t>
        </is>
      </c>
      <c r="G1" s="1" t="inlineStr">
        <is>
          <t>Faltam</t>
        </is>
      </c>
      <c r="H1" s="1" t="inlineStr">
        <is>
          <t>Matric.</t>
        </is>
      </c>
      <c r="I1" s="1" t="inlineStr">
        <is>
          <t>Novo</t>
        </is>
      </c>
      <c r="J1" s="1" t="inlineStr">
        <is>
          <t>H</t>
        </is>
      </c>
      <c r="K1" s="1" t="inlineStr">
        <is>
          <t>M</t>
        </is>
      </c>
      <c r="L1" s="1" t="inlineStr">
        <is>
          <t>Lucas</t>
        </is>
      </c>
      <c r="M1" s="1" t="inlineStr">
        <is>
          <t>Edy</t>
        </is>
      </c>
      <c r="N1" s="1" t="inlineStr">
        <is>
          <t>Eduardo</t>
        </is>
      </c>
      <c r="O1" s="1" t="inlineStr">
        <is>
          <t>Luiz</t>
        </is>
      </c>
      <c r="P1" s="1" t="inlineStr">
        <is>
          <t>Maria</t>
        </is>
      </c>
      <c r="Q1" s="2" t="inlineStr">
        <is>
          <t>(livre)</t>
        </is>
      </c>
      <c r="R1" s="2" t="inlineStr">
        <is>
          <t>(livre)</t>
        </is>
      </c>
      <c r="S1" s="2" t="inlineStr">
        <is>
          <t>(livre)</t>
        </is>
      </c>
      <c r="T1" s="1" t="inlineStr">
        <is>
          <t>Conferência</t>
        </is>
      </c>
      <c r="U1" s="1" t="inlineStr">
        <is>
          <t>Observação</t>
        </is>
      </c>
    </row>
    <row r="2" ht="18" customHeight="1">
      <c r="A2" s="3" t="n">
        <v>46054</v>
      </c>
      <c r="B2" s="4">
        <f>IF($A2="","",CHOOSE(MONTH($A2),"Janeiro","Fevereiro","Março","Abril","Maio","Junho","Julho","Agosto","Setembro","Outubro","Novembro","Dezembro"))</f>
        <v/>
      </c>
      <c r="C2" s="4">
        <f>IF($A2="","",CHOOSE(WEEKDAY($A2),"Domingo","Segunda-feira","Terça-feira","Quarta-feira","Quinta-feira","Sexta-feira","Sábado"))</f>
        <v/>
      </c>
      <c r="D2" s="5" t="n"/>
      <c r="E2" s="6">
        <f>IFERROR(INDEX(Consolidado_Mensal!$B$2:$B$12,MATCH($B2,Consolidado_Mensal!$A$2:$A$12,0)),"")</f>
        <v/>
      </c>
      <c r="F2" s="7">
        <f>IF($E2="","",SUMIFS($D$2:$D2,$B$2:$B2,$B2)/$E2)</f>
        <v/>
      </c>
      <c r="G2" s="6">
        <f>IF($E2="","",MAX(0,$E2-SUMIFS($D$2:$D2,$B$2:$B2,$B2)))</f>
        <v/>
      </c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6">
        <f>IF($D2="","",IF(AND($D2=0,SUM($H2:$S2)=0),"OK",IF(SUM($H2:$S2)=0,"Sem detalhe",IF(AND(OR(SUM($H2:$I2)=$D2,SUM($H2:$I2)=0),OR(SUM($J2:$K2)=$D2,SUM($J2:$K2)=0),OR(SUM($L2:$S2)=$D2,SUM($L2:$S2)=0)),"OK","Verificar: "&amp;IF(AND(SUM($H2:$I2)&lt;&gt;$D2,SUM($H2:$I2)&lt;&gt;0),"perfil ","")&amp;IF(AND(SUM($J2:$K2)&lt;&gt;$D2,SUM($J2:$K2)&lt;&gt;0),"gênero ","")&amp;IF(AND(SUM($L2:$S2)&lt;&gt;$D2,SUM($L2:$S2)&lt;&gt;0),"professor","")))))</f>
        <v/>
      </c>
      <c r="U2" s="5" t="n"/>
    </row>
    <row r="3" ht="18" customHeight="1">
      <c r="A3" s="3" t="n">
        <v>46055</v>
      </c>
      <c r="B3" s="4">
        <f>IF($A3="","",CHOOSE(MONTH($A3),"Janeiro","Fevereiro","Março","Abril","Maio","Junho","Julho","Agosto","Setembro","Outubro","Novembro","Dezembro"))</f>
        <v/>
      </c>
      <c r="C3" s="4">
        <f>IF($A3="","",CHOOSE(WEEKDAY($A3),"Domingo","Segunda-feira","Terça-feira","Quarta-feira","Quinta-feira","Sexta-feira","Sábado"))</f>
        <v/>
      </c>
      <c r="D3" s="5" t="n"/>
      <c r="E3" s="6">
        <f>IFERROR(INDEX(Consolidado_Mensal!$B$2:$B$12,MATCH($B3,Consolidado_Mensal!$A$2:$A$12,0)),"")</f>
        <v/>
      </c>
      <c r="F3" s="7">
        <f>IF($E3="","",SUMIFS($D$2:$D3,$B$2:$B3,$B3)/$E3)</f>
        <v/>
      </c>
      <c r="G3" s="6">
        <f>IF($E3="","",MAX(0,$E3-SUMIFS($D$2:$D3,$B$2:$B3,$B3)))</f>
        <v/>
      </c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6">
        <f>IF($D3="","",IF(AND($D3=0,SUM($H3:$S3)=0),"OK",IF(SUM($H3:$S3)=0,"Sem detalhe",IF(AND(OR(SUM($H3:$I3)=$D3,SUM($H3:$I3)=0),OR(SUM($J3:$K3)=$D3,SUM($J3:$K3)=0),OR(SUM($L3:$S3)=$D3,SUM($L3:$S3)=0)),"OK","Verificar: "&amp;IF(AND(SUM($H3:$I3)&lt;&gt;$D3,SUM($H3:$I3)&lt;&gt;0),"perfil ","")&amp;IF(AND(SUM($J3:$K3)&lt;&gt;$D3,SUM($J3:$K3)&lt;&gt;0),"gênero ","")&amp;IF(AND(SUM($L3:$S3)&lt;&gt;$D3,SUM($L3:$S3)&lt;&gt;0),"professor","")))))</f>
        <v/>
      </c>
      <c r="U3" s="5" t="n"/>
    </row>
    <row r="4" ht="18" customHeight="1">
      <c r="A4" s="3" t="n">
        <v>46056</v>
      </c>
      <c r="B4" s="4">
        <f>IF($A4="","",CHOOSE(MONTH($A4),"Janeiro","Fevereiro","Março","Abril","Maio","Junho","Julho","Agosto","Setembro","Outubro","Novembro","Dezembro"))</f>
        <v/>
      </c>
      <c r="C4" s="4">
        <f>IF($A4="","",CHOOSE(WEEKDAY($A4),"Domingo","Segunda-feira","Terça-feira","Quarta-feira","Quinta-feira","Sexta-feira","Sábado"))</f>
        <v/>
      </c>
      <c r="D4" s="5" t="n"/>
      <c r="E4" s="6">
        <f>IFERROR(INDEX(Consolidado_Mensal!$B$2:$B$12,MATCH($B4,Consolidado_Mensal!$A$2:$A$12,0)),"")</f>
        <v/>
      </c>
      <c r="F4" s="7">
        <f>IF($E4="","",SUMIFS($D$2:$D4,$B$2:$B4,$B4)/$E4)</f>
        <v/>
      </c>
      <c r="G4" s="6">
        <f>IF($E4="","",MAX(0,$E4-SUMIFS($D$2:$D4,$B$2:$B4,$B4)))</f>
        <v/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6">
        <f>IF($D4="","",IF(AND($D4=0,SUM($H4:$S4)=0),"OK",IF(SUM($H4:$S4)=0,"Sem detalhe",IF(AND(OR(SUM($H4:$I4)=$D4,SUM($H4:$I4)=0),OR(SUM($J4:$K4)=$D4,SUM($J4:$K4)=0),OR(SUM($L4:$S4)=$D4,SUM($L4:$S4)=0)),"OK","Verificar: "&amp;IF(AND(SUM($H4:$I4)&lt;&gt;$D4,SUM($H4:$I4)&lt;&gt;0),"perfil ","")&amp;IF(AND(SUM($J4:$K4)&lt;&gt;$D4,SUM($J4:$K4)&lt;&gt;0),"gênero ","")&amp;IF(AND(SUM($L4:$S4)&lt;&gt;$D4,SUM($L4:$S4)&lt;&gt;0),"professor","")))))</f>
        <v/>
      </c>
      <c r="U4" s="5" t="n"/>
    </row>
    <row r="5" ht="18" customHeight="1">
      <c r="A5" s="3" t="n">
        <v>46057</v>
      </c>
      <c r="B5" s="4">
        <f>IF($A5="","",CHOOSE(MONTH($A5),"Janeiro","Fevereiro","Março","Abril","Maio","Junho","Julho","Agosto","Setembro","Outubro","Novembro","Dezembro"))</f>
        <v/>
      </c>
      <c r="C5" s="4">
        <f>IF($A5="","",CHOOSE(WEEKDAY($A5),"Domingo","Segunda-feira","Terça-feira","Quarta-feira","Quinta-feira","Sexta-feira","Sábado"))</f>
        <v/>
      </c>
      <c r="D5" s="5" t="n"/>
      <c r="E5" s="6">
        <f>IFERROR(INDEX(Consolidado_Mensal!$B$2:$B$12,MATCH($B5,Consolidado_Mensal!$A$2:$A$12,0)),"")</f>
        <v/>
      </c>
      <c r="F5" s="7">
        <f>IF($E5="","",SUMIFS($D$2:$D5,$B$2:$B5,$B5)/$E5)</f>
        <v/>
      </c>
      <c r="G5" s="6">
        <f>IF($E5="","",MAX(0,$E5-SUMIFS($D$2:$D5,$B$2:$B5,$B5)))</f>
        <v/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6">
        <f>IF($D5="","",IF(AND($D5=0,SUM($H5:$S5)=0),"OK",IF(SUM($H5:$S5)=0,"Sem detalhe",IF(AND(OR(SUM($H5:$I5)=$D5,SUM($H5:$I5)=0),OR(SUM($J5:$K5)=$D5,SUM($J5:$K5)=0),OR(SUM($L5:$S5)=$D5,SUM($L5:$S5)=0)),"OK","Verificar: "&amp;IF(AND(SUM($H5:$I5)&lt;&gt;$D5,SUM($H5:$I5)&lt;&gt;0),"perfil ","")&amp;IF(AND(SUM($J5:$K5)&lt;&gt;$D5,SUM($J5:$K5)&lt;&gt;0),"gênero ","")&amp;IF(AND(SUM($L5:$S5)&lt;&gt;$D5,SUM($L5:$S5)&lt;&gt;0),"professor","")))))</f>
        <v/>
      </c>
      <c r="U5" s="5" t="n"/>
    </row>
    <row r="6" ht="18" customHeight="1">
      <c r="A6" s="3" t="n">
        <v>46058</v>
      </c>
      <c r="B6" s="4">
        <f>IF($A6="","",CHOOSE(MONTH($A6),"Janeiro","Fevereiro","Março","Abril","Maio","Junho","Julho","Agosto","Setembro","Outubro","Novembro","Dezembro"))</f>
        <v/>
      </c>
      <c r="C6" s="4">
        <f>IF($A6="","",CHOOSE(WEEKDAY($A6),"Domingo","Segunda-feira","Terça-feira","Quarta-feira","Quinta-feira","Sexta-feira","Sábado"))</f>
        <v/>
      </c>
      <c r="D6" s="5" t="n"/>
      <c r="E6" s="6">
        <f>IFERROR(INDEX(Consolidado_Mensal!$B$2:$B$12,MATCH($B6,Consolidado_Mensal!$A$2:$A$12,0)),"")</f>
        <v/>
      </c>
      <c r="F6" s="7">
        <f>IF($E6="","",SUMIFS($D$2:$D6,$B$2:$B6,$B6)/$E6)</f>
        <v/>
      </c>
      <c r="G6" s="6">
        <f>IF($E6="","",MAX(0,$E6-SUMIFS($D$2:$D6,$B$2:$B6,$B6)))</f>
        <v/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6">
        <f>IF($D6="","",IF(AND($D6=0,SUM($H6:$S6)=0),"OK",IF(SUM($H6:$S6)=0,"Sem detalhe",IF(AND(OR(SUM($H6:$I6)=$D6,SUM($H6:$I6)=0),OR(SUM($J6:$K6)=$D6,SUM($J6:$K6)=0),OR(SUM($L6:$S6)=$D6,SUM($L6:$S6)=0)),"OK","Verificar: "&amp;IF(AND(SUM($H6:$I6)&lt;&gt;$D6,SUM($H6:$I6)&lt;&gt;0),"perfil ","")&amp;IF(AND(SUM($J6:$K6)&lt;&gt;$D6,SUM($J6:$K6)&lt;&gt;0),"gênero ","")&amp;IF(AND(SUM($L6:$S6)&lt;&gt;$D6,SUM($L6:$S6)&lt;&gt;0),"professor","")))))</f>
        <v/>
      </c>
      <c r="U6" s="5" t="n"/>
    </row>
    <row r="7" ht="18" customHeight="1">
      <c r="A7" s="3" t="n">
        <v>46059</v>
      </c>
      <c r="B7" s="4">
        <f>IF($A7="","",CHOOSE(MONTH($A7),"Janeiro","Fevereiro","Março","Abril","Maio","Junho","Julho","Agosto","Setembro","Outubro","Novembro","Dezembro"))</f>
        <v/>
      </c>
      <c r="C7" s="4">
        <f>IF($A7="","",CHOOSE(WEEKDAY($A7),"Domingo","Segunda-feira","Terça-feira","Quarta-feira","Quinta-feira","Sexta-feira","Sábado"))</f>
        <v/>
      </c>
      <c r="D7" s="5" t="n"/>
      <c r="E7" s="6">
        <f>IFERROR(INDEX(Consolidado_Mensal!$B$2:$B$12,MATCH($B7,Consolidado_Mensal!$A$2:$A$12,0)),"")</f>
        <v/>
      </c>
      <c r="F7" s="7">
        <f>IF($E7="","",SUMIFS($D$2:$D7,$B$2:$B7,$B7)/$E7)</f>
        <v/>
      </c>
      <c r="G7" s="6">
        <f>IF($E7="","",MAX(0,$E7-SUMIFS($D$2:$D7,$B$2:$B7,$B7)))</f>
        <v/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6">
        <f>IF($D7="","",IF(AND($D7=0,SUM($H7:$S7)=0),"OK",IF(SUM($H7:$S7)=0,"Sem detalhe",IF(AND(OR(SUM($H7:$I7)=$D7,SUM($H7:$I7)=0),OR(SUM($J7:$K7)=$D7,SUM($J7:$K7)=0),OR(SUM($L7:$S7)=$D7,SUM($L7:$S7)=0)),"OK","Verificar: "&amp;IF(AND(SUM($H7:$I7)&lt;&gt;$D7,SUM($H7:$I7)&lt;&gt;0),"perfil ","")&amp;IF(AND(SUM($J7:$K7)&lt;&gt;$D7,SUM($J7:$K7)&lt;&gt;0),"gênero ","")&amp;IF(AND(SUM($L7:$S7)&lt;&gt;$D7,SUM($L7:$S7)&lt;&gt;0),"professor","")))))</f>
        <v/>
      </c>
      <c r="U7" s="5" t="n"/>
    </row>
    <row r="8" ht="18" customHeight="1">
      <c r="A8" s="3" t="n">
        <v>46060</v>
      </c>
      <c r="B8" s="4">
        <f>IF($A8="","",CHOOSE(MONTH($A8),"Janeiro","Fevereiro","Março","Abril","Maio","Junho","Julho","Agosto","Setembro","Outubro","Novembro","Dezembro"))</f>
        <v/>
      </c>
      <c r="C8" s="4">
        <f>IF($A8="","",CHOOSE(WEEKDAY($A8),"Domingo","Segunda-feira","Terça-feira","Quarta-feira","Quinta-feira","Sexta-feira","Sábado"))</f>
        <v/>
      </c>
      <c r="D8" s="5" t="n"/>
      <c r="E8" s="6">
        <f>IFERROR(INDEX(Consolidado_Mensal!$B$2:$B$12,MATCH($B8,Consolidado_Mensal!$A$2:$A$12,0)),"")</f>
        <v/>
      </c>
      <c r="F8" s="7">
        <f>IF($E8="","",SUMIFS($D$2:$D8,$B$2:$B8,$B8)/$E8)</f>
        <v/>
      </c>
      <c r="G8" s="6">
        <f>IF($E8="","",MAX(0,$E8-SUMIFS($D$2:$D8,$B$2:$B8,$B8)))</f>
        <v/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6">
        <f>IF($D8="","",IF(AND($D8=0,SUM($H8:$S8)=0),"OK",IF(SUM($H8:$S8)=0,"Sem detalhe",IF(AND(OR(SUM($H8:$I8)=$D8,SUM($H8:$I8)=0),OR(SUM($J8:$K8)=$D8,SUM($J8:$K8)=0),OR(SUM($L8:$S8)=$D8,SUM($L8:$S8)=0)),"OK","Verificar: "&amp;IF(AND(SUM($H8:$I8)&lt;&gt;$D8,SUM($H8:$I8)&lt;&gt;0),"perfil ","")&amp;IF(AND(SUM($J8:$K8)&lt;&gt;$D8,SUM($J8:$K8)&lt;&gt;0),"gênero ","")&amp;IF(AND(SUM($L8:$S8)&lt;&gt;$D8,SUM($L8:$S8)&lt;&gt;0),"professor","")))))</f>
        <v/>
      </c>
      <c r="U8" s="5" t="n"/>
    </row>
    <row r="9" ht="18" customHeight="1">
      <c r="A9" s="3" t="n">
        <v>46061</v>
      </c>
      <c r="B9" s="4">
        <f>IF($A9="","",CHOOSE(MONTH($A9),"Janeiro","Fevereiro","Março","Abril","Maio","Junho","Julho","Agosto","Setembro","Outubro","Novembro","Dezembro"))</f>
        <v/>
      </c>
      <c r="C9" s="4">
        <f>IF($A9="","",CHOOSE(WEEKDAY($A9),"Domingo","Segunda-feira","Terça-feira","Quarta-feira","Quinta-feira","Sexta-feira","Sábado"))</f>
        <v/>
      </c>
      <c r="D9" s="5" t="n"/>
      <c r="E9" s="6">
        <f>IFERROR(INDEX(Consolidado_Mensal!$B$2:$B$12,MATCH($B9,Consolidado_Mensal!$A$2:$A$12,0)),"")</f>
        <v/>
      </c>
      <c r="F9" s="7">
        <f>IF($E9="","",SUMIFS($D$2:$D9,$B$2:$B9,$B9)/$E9)</f>
        <v/>
      </c>
      <c r="G9" s="6">
        <f>IF($E9="","",MAX(0,$E9-SUMIFS($D$2:$D9,$B$2:$B9,$B9)))</f>
        <v/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6">
        <f>IF($D9="","",IF(AND($D9=0,SUM($H9:$S9)=0),"OK",IF(SUM($H9:$S9)=0,"Sem detalhe",IF(AND(OR(SUM($H9:$I9)=$D9,SUM($H9:$I9)=0),OR(SUM($J9:$K9)=$D9,SUM($J9:$K9)=0),OR(SUM($L9:$S9)=$D9,SUM($L9:$S9)=0)),"OK","Verificar: "&amp;IF(AND(SUM($H9:$I9)&lt;&gt;$D9,SUM($H9:$I9)&lt;&gt;0),"perfil ","")&amp;IF(AND(SUM($J9:$K9)&lt;&gt;$D9,SUM($J9:$K9)&lt;&gt;0),"gênero ","")&amp;IF(AND(SUM($L9:$S9)&lt;&gt;$D9,SUM($L9:$S9)&lt;&gt;0),"professor","")))))</f>
        <v/>
      </c>
      <c r="U9" s="5" t="n"/>
    </row>
    <row r="10" ht="18" customHeight="1">
      <c r="A10" s="3" t="n">
        <v>46062</v>
      </c>
      <c r="B10" s="4">
        <f>IF($A10="","",CHOOSE(MONTH($A10),"Janeiro","Fevereiro","Março","Abril","Maio","Junho","Julho","Agosto","Setembro","Outubro","Novembro","Dezembro"))</f>
        <v/>
      </c>
      <c r="C10" s="4">
        <f>IF($A10="","",CHOOSE(WEEKDAY($A10),"Domingo","Segunda-feira","Terça-feira","Quarta-feira","Quinta-feira","Sexta-feira","Sábado"))</f>
        <v/>
      </c>
      <c r="D10" s="5" t="n"/>
      <c r="E10" s="6">
        <f>IFERROR(INDEX(Consolidado_Mensal!$B$2:$B$12,MATCH($B10,Consolidado_Mensal!$A$2:$A$12,0)),"")</f>
        <v/>
      </c>
      <c r="F10" s="7">
        <f>IF($E10="","",SUMIFS($D$2:$D10,$B$2:$B10,$B10)/$E10)</f>
        <v/>
      </c>
      <c r="G10" s="6">
        <f>IF($E10="","",MAX(0,$E10-SUMIFS($D$2:$D10,$B$2:$B10,$B10)))</f>
        <v/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6">
        <f>IF($D10="","",IF(AND($D10=0,SUM($H10:$S10)=0),"OK",IF(SUM($H10:$S10)=0,"Sem detalhe",IF(AND(OR(SUM($H10:$I10)=$D10,SUM($H10:$I10)=0),OR(SUM($J10:$K10)=$D10,SUM($J10:$K10)=0),OR(SUM($L10:$S10)=$D10,SUM($L10:$S10)=0)),"OK","Verificar: "&amp;IF(AND(SUM($H10:$I10)&lt;&gt;$D10,SUM($H10:$I10)&lt;&gt;0),"perfil ","")&amp;IF(AND(SUM($J10:$K10)&lt;&gt;$D10,SUM($J10:$K10)&lt;&gt;0),"gênero ","")&amp;IF(AND(SUM($L10:$S10)&lt;&gt;$D10,SUM($L10:$S10)&lt;&gt;0),"professor","")))))</f>
        <v/>
      </c>
      <c r="U10" s="5" t="n"/>
    </row>
    <row r="11" ht="18" customHeight="1">
      <c r="A11" s="3" t="n">
        <v>46063</v>
      </c>
      <c r="B11" s="4">
        <f>IF($A11="","",CHOOSE(MONTH($A11),"Janeiro","Fevereiro","Março","Abril","Maio","Junho","Julho","Agosto","Setembro","Outubro","Novembro","Dezembro"))</f>
        <v/>
      </c>
      <c r="C11" s="4">
        <f>IF($A11="","",CHOOSE(WEEKDAY($A11),"Domingo","Segunda-feira","Terça-feira","Quarta-feira","Quinta-feira","Sexta-feira","Sábado"))</f>
        <v/>
      </c>
      <c r="D11" s="5" t="n"/>
      <c r="E11" s="6">
        <f>IFERROR(INDEX(Consolidado_Mensal!$B$2:$B$12,MATCH($B11,Consolidado_Mensal!$A$2:$A$12,0)),"")</f>
        <v/>
      </c>
      <c r="F11" s="7">
        <f>IF($E11="","",SUMIFS($D$2:$D11,$B$2:$B11,$B11)/$E11)</f>
        <v/>
      </c>
      <c r="G11" s="6">
        <f>IF($E11="","",MAX(0,$E11-SUMIFS($D$2:$D11,$B$2:$B11,$B11)))</f>
        <v/>
      </c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6">
        <f>IF($D11="","",IF(AND($D11=0,SUM($H11:$S11)=0),"OK",IF(SUM($H11:$S11)=0,"Sem detalhe",IF(AND(OR(SUM($H11:$I11)=$D11,SUM($H11:$I11)=0),OR(SUM($J11:$K11)=$D11,SUM($J11:$K11)=0),OR(SUM($L11:$S11)=$D11,SUM($L11:$S11)=0)),"OK","Verificar: "&amp;IF(AND(SUM($H11:$I11)&lt;&gt;$D11,SUM($H11:$I11)&lt;&gt;0),"perfil ","")&amp;IF(AND(SUM($J11:$K11)&lt;&gt;$D11,SUM($J11:$K11)&lt;&gt;0),"gênero ","")&amp;IF(AND(SUM($L11:$S11)&lt;&gt;$D11,SUM($L11:$S11)&lt;&gt;0),"professor","")))))</f>
        <v/>
      </c>
      <c r="U11" s="5" t="n"/>
    </row>
    <row r="12" ht="18" customHeight="1">
      <c r="A12" s="3" t="n">
        <v>46064</v>
      </c>
      <c r="B12" s="4">
        <f>IF($A12="","",CHOOSE(MONTH($A12),"Janeiro","Fevereiro","Março","Abril","Maio","Junho","Julho","Agosto","Setembro","Outubro","Novembro","Dezembro"))</f>
        <v/>
      </c>
      <c r="C12" s="4">
        <f>IF($A12="","",CHOOSE(WEEKDAY($A12),"Domingo","Segunda-feira","Terça-feira","Quarta-feira","Quinta-feira","Sexta-feira","Sábado"))</f>
        <v/>
      </c>
      <c r="D12" s="5" t="n"/>
      <c r="E12" s="6">
        <f>IFERROR(INDEX(Consolidado_Mensal!$B$2:$B$12,MATCH($B12,Consolidado_Mensal!$A$2:$A$12,0)),"")</f>
        <v/>
      </c>
      <c r="F12" s="7">
        <f>IF($E12="","",SUMIFS($D$2:$D12,$B$2:$B12,$B12)/$E12)</f>
        <v/>
      </c>
      <c r="G12" s="6">
        <f>IF($E12="","",MAX(0,$E12-SUMIFS($D$2:$D12,$B$2:$B12,$B12)))</f>
        <v/>
      </c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6">
        <f>IF($D12="","",IF(AND($D12=0,SUM($H12:$S12)=0),"OK",IF(SUM($H12:$S12)=0,"Sem detalhe",IF(AND(OR(SUM($H12:$I12)=$D12,SUM($H12:$I12)=0),OR(SUM($J12:$K12)=$D12,SUM($J12:$K12)=0),OR(SUM($L12:$S12)=$D12,SUM($L12:$S12)=0)),"OK","Verificar: "&amp;IF(AND(SUM($H12:$I12)&lt;&gt;$D12,SUM($H12:$I12)&lt;&gt;0),"perfil ","")&amp;IF(AND(SUM($J12:$K12)&lt;&gt;$D12,SUM($J12:$K12)&lt;&gt;0),"gênero ","")&amp;IF(AND(SUM($L12:$S12)&lt;&gt;$D12,SUM($L12:$S12)&lt;&gt;0),"professor","")))))</f>
        <v/>
      </c>
      <c r="U12" s="5" t="n"/>
    </row>
    <row r="13" ht="18" customHeight="1">
      <c r="A13" s="3" t="n">
        <v>46065</v>
      </c>
      <c r="B13" s="4">
        <f>IF($A13="","",CHOOSE(MONTH($A13),"Janeiro","Fevereiro","Março","Abril","Maio","Junho","Julho","Agosto","Setembro","Outubro","Novembro","Dezembro"))</f>
        <v/>
      </c>
      <c r="C13" s="4">
        <f>IF($A13="","",CHOOSE(WEEKDAY($A13),"Domingo","Segunda-feira","Terça-feira","Quarta-feira","Quinta-feira","Sexta-feira","Sábado"))</f>
        <v/>
      </c>
      <c r="D13" s="5" t="n"/>
      <c r="E13" s="6">
        <f>IFERROR(INDEX(Consolidado_Mensal!$B$2:$B$12,MATCH($B13,Consolidado_Mensal!$A$2:$A$12,0)),"")</f>
        <v/>
      </c>
      <c r="F13" s="7">
        <f>IF($E13="","",SUMIFS($D$2:$D13,$B$2:$B13,$B13)/$E13)</f>
        <v/>
      </c>
      <c r="G13" s="6">
        <f>IF($E13="","",MAX(0,$E13-SUMIFS($D$2:$D13,$B$2:$B13,$B13)))</f>
        <v/>
      </c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6">
        <f>IF($D13="","",IF(AND($D13=0,SUM($H13:$S13)=0),"OK",IF(SUM($H13:$S13)=0,"Sem detalhe",IF(AND(OR(SUM($H13:$I13)=$D13,SUM($H13:$I13)=0),OR(SUM($J13:$K13)=$D13,SUM($J13:$K13)=0),OR(SUM($L13:$S13)=$D13,SUM($L13:$S13)=0)),"OK","Verificar: "&amp;IF(AND(SUM($H13:$I13)&lt;&gt;$D13,SUM($H13:$I13)&lt;&gt;0),"perfil ","")&amp;IF(AND(SUM($J13:$K13)&lt;&gt;$D13,SUM($J13:$K13)&lt;&gt;0),"gênero ","")&amp;IF(AND(SUM($L13:$S13)&lt;&gt;$D13,SUM($L13:$S13)&lt;&gt;0),"professor","")))))</f>
        <v/>
      </c>
      <c r="U13" s="5" t="n"/>
    </row>
    <row r="14" ht="18" customHeight="1">
      <c r="A14" s="3" t="n">
        <v>46066</v>
      </c>
      <c r="B14" s="4">
        <f>IF($A14="","",CHOOSE(MONTH($A14),"Janeiro","Fevereiro","Março","Abril","Maio","Junho","Julho","Agosto","Setembro","Outubro","Novembro","Dezembro"))</f>
        <v/>
      </c>
      <c r="C14" s="4">
        <f>IF($A14="","",CHOOSE(WEEKDAY($A14),"Domingo","Segunda-feira","Terça-feira","Quarta-feira","Quinta-feira","Sexta-feira","Sábado"))</f>
        <v/>
      </c>
      <c r="D14" s="5" t="n"/>
      <c r="E14" s="6">
        <f>IFERROR(INDEX(Consolidado_Mensal!$B$2:$B$12,MATCH($B14,Consolidado_Mensal!$A$2:$A$12,0)),"")</f>
        <v/>
      </c>
      <c r="F14" s="7">
        <f>IF($E14="","",SUMIFS($D$2:$D14,$B$2:$B14,$B14)/$E14)</f>
        <v/>
      </c>
      <c r="G14" s="6">
        <f>IF($E14="","",MAX(0,$E14-SUMIFS($D$2:$D14,$B$2:$B14,$B14)))</f>
        <v/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6">
        <f>IF($D14="","",IF(AND($D14=0,SUM($H14:$S14)=0),"OK",IF(SUM($H14:$S14)=0,"Sem detalhe",IF(AND(OR(SUM($H14:$I14)=$D14,SUM($H14:$I14)=0),OR(SUM($J14:$K14)=$D14,SUM($J14:$K14)=0),OR(SUM($L14:$S14)=$D14,SUM($L14:$S14)=0)),"OK","Verificar: "&amp;IF(AND(SUM($H14:$I14)&lt;&gt;$D14,SUM($H14:$I14)&lt;&gt;0),"perfil ","")&amp;IF(AND(SUM($J14:$K14)&lt;&gt;$D14,SUM($J14:$K14)&lt;&gt;0),"gênero ","")&amp;IF(AND(SUM($L14:$S14)&lt;&gt;$D14,SUM($L14:$S14)&lt;&gt;0),"professor","")))))</f>
        <v/>
      </c>
      <c r="U14" s="5" t="n"/>
    </row>
    <row r="15" ht="18" customHeight="1">
      <c r="A15" s="3" t="n">
        <v>46067</v>
      </c>
      <c r="B15" s="4">
        <f>IF($A15="","",CHOOSE(MONTH($A15),"Janeiro","Fevereiro","Março","Abril","Maio","Junho","Julho","Agosto","Setembro","Outubro","Novembro","Dezembro"))</f>
        <v/>
      </c>
      <c r="C15" s="4">
        <f>IF($A15="","",CHOOSE(WEEKDAY($A15),"Domingo","Segunda-feira","Terça-feira","Quarta-feira","Quinta-feira","Sexta-feira","Sábado"))</f>
        <v/>
      </c>
      <c r="D15" s="5" t="n"/>
      <c r="E15" s="6">
        <f>IFERROR(INDEX(Consolidado_Mensal!$B$2:$B$12,MATCH($B15,Consolidado_Mensal!$A$2:$A$12,0)),"")</f>
        <v/>
      </c>
      <c r="F15" s="7">
        <f>IF($E15="","",SUMIFS($D$2:$D15,$B$2:$B15,$B15)/$E15)</f>
        <v/>
      </c>
      <c r="G15" s="6">
        <f>IF($E15="","",MAX(0,$E15-SUMIFS($D$2:$D15,$B$2:$B15,$B15)))</f>
        <v/>
      </c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6">
        <f>IF($D15="","",IF(AND($D15=0,SUM($H15:$S15)=0),"OK",IF(SUM($H15:$S15)=0,"Sem detalhe",IF(AND(OR(SUM($H15:$I15)=$D15,SUM($H15:$I15)=0),OR(SUM($J15:$K15)=$D15,SUM($J15:$K15)=0),OR(SUM($L15:$S15)=$D15,SUM($L15:$S15)=0)),"OK","Verificar: "&amp;IF(AND(SUM($H15:$I15)&lt;&gt;$D15,SUM($H15:$I15)&lt;&gt;0),"perfil ","")&amp;IF(AND(SUM($J15:$K15)&lt;&gt;$D15,SUM($J15:$K15)&lt;&gt;0),"gênero ","")&amp;IF(AND(SUM($L15:$S15)&lt;&gt;$D15,SUM($L15:$S15)&lt;&gt;0),"professor","")))))</f>
        <v/>
      </c>
      <c r="U15" s="5" t="n"/>
    </row>
    <row r="16" ht="18" customHeight="1">
      <c r="A16" s="3" t="n">
        <v>46068</v>
      </c>
      <c r="B16" s="4">
        <f>IF($A16="","",CHOOSE(MONTH($A16),"Janeiro","Fevereiro","Março","Abril","Maio","Junho","Julho","Agosto","Setembro","Outubro","Novembro","Dezembro"))</f>
        <v/>
      </c>
      <c r="C16" s="4">
        <f>IF($A16="","",CHOOSE(WEEKDAY($A16),"Domingo","Segunda-feira","Terça-feira","Quarta-feira","Quinta-feira","Sexta-feira","Sábado"))</f>
        <v/>
      </c>
      <c r="D16" s="5" t="n"/>
      <c r="E16" s="6">
        <f>IFERROR(INDEX(Consolidado_Mensal!$B$2:$B$12,MATCH($B16,Consolidado_Mensal!$A$2:$A$12,0)),"")</f>
        <v/>
      </c>
      <c r="F16" s="7">
        <f>IF($E16="","",SUMIFS($D$2:$D16,$B$2:$B16,$B16)/$E16)</f>
        <v/>
      </c>
      <c r="G16" s="6">
        <f>IF($E16="","",MAX(0,$E16-SUMIFS($D$2:$D16,$B$2:$B16,$B16)))</f>
        <v/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6">
        <f>IF($D16="","",IF(AND($D16=0,SUM($H16:$S16)=0),"OK",IF(SUM($H16:$S16)=0,"Sem detalhe",IF(AND(OR(SUM($H16:$I16)=$D16,SUM($H16:$I16)=0),OR(SUM($J16:$K16)=$D16,SUM($J16:$K16)=0),OR(SUM($L16:$S16)=$D16,SUM($L16:$S16)=0)),"OK","Verificar: "&amp;IF(AND(SUM($H16:$I16)&lt;&gt;$D16,SUM($H16:$I16)&lt;&gt;0),"perfil ","")&amp;IF(AND(SUM($J16:$K16)&lt;&gt;$D16,SUM($J16:$K16)&lt;&gt;0),"gênero ","")&amp;IF(AND(SUM($L16:$S16)&lt;&gt;$D16,SUM($L16:$S16)&lt;&gt;0),"professor","")))))</f>
        <v/>
      </c>
      <c r="U16" s="5" t="n"/>
    </row>
    <row r="17" ht="18" customHeight="1">
      <c r="A17" s="3" t="n">
        <v>46069</v>
      </c>
      <c r="B17" s="4">
        <f>IF($A17="","",CHOOSE(MONTH($A17),"Janeiro","Fevereiro","Março","Abril","Maio","Junho","Julho","Agosto","Setembro","Outubro","Novembro","Dezembro"))</f>
        <v/>
      </c>
      <c r="C17" s="4">
        <f>IF($A17="","",CHOOSE(WEEKDAY($A17),"Domingo","Segunda-feira","Terça-feira","Quarta-feira","Quinta-feira","Sexta-feira","Sábado"))</f>
        <v/>
      </c>
      <c r="D17" s="5" t="n"/>
      <c r="E17" s="6">
        <f>IFERROR(INDEX(Consolidado_Mensal!$B$2:$B$12,MATCH($B17,Consolidado_Mensal!$A$2:$A$12,0)),"")</f>
        <v/>
      </c>
      <c r="F17" s="7">
        <f>IF($E17="","",SUMIFS($D$2:$D17,$B$2:$B17,$B17)/$E17)</f>
        <v/>
      </c>
      <c r="G17" s="6">
        <f>IF($E17="","",MAX(0,$E17-SUMIFS($D$2:$D17,$B$2:$B17,$B17)))</f>
        <v/>
      </c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6">
        <f>IF($D17="","",IF(AND($D17=0,SUM($H17:$S17)=0),"OK",IF(SUM($H17:$S17)=0,"Sem detalhe",IF(AND(OR(SUM($H17:$I17)=$D17,SUM($H17:$I17)=0),OR(SUM($J17:$K17)=$D17,SUM($J17:$K17)=0),OR(SUM($L17:$S17)=$D17,SUM($L17:$S17)=0)),"OK","Verificar: "&amp;IF(AND(SUM($H17:$I17)&lt;&gt;$D17,SUM($H17:$I17)&lt;&gt;0),"perfil ","")&amp;IF(AND(SUM($J17:$K17)&lt;&gt;$D17,SUM($J17:$K17)&lt;&gt;0),"gênero ","")&amp;IF(AND(SUM($L17:$S17)&lt;&gt;$D17,SUM($L17:$S17)&lt;&gt;0),"professor","")))))</f>
        <v/>
      </c>
      <c r="U17" s="5" t="n"/>
    </row>
    <row r="18" ht="18" customHeight="1">
      <c r="A18" s="3" t="n">
        <v>46070</v>
      </c>
      <c r="B18" s="4">
        <f>IF($A18="","",CHOOSE(MONTH($A18),"Janeiro","Fevereiro","Março","Abril","Maio","Junho","Julho","Agosto","Setembro","Outubro","Novembro","Dezembro"))</f>
        <v/>
      </c>
      <c r="C18" s="4">
        <f>IF($A18="","",CHOOSE(WEEKDAY($A18),"Domingo","Segunda-feira","Terça-feira","Quarta-feira","Quinta-feira","Sexta-feira","Sábado"))</f>
        <v/>
      </c>
      <c r="D18" s="5" t="n"/>
      <c r="E18" s="6">
        <f>IFERROR(INDEX(Consolidado_Mensal!$B$2:$B$12,MATCH($B18,Consolidado_Mensal!$A$2:$A$12,0)),"")</f>
        <v/>
      </c>
      <c r="F18" s="7">
        <f>IF($E18="","",SUMIFS($D$2:$D18,$B$2:$B18,$B18)/$E18)</f>
        <v/>
      </c>
      <c r="G18" s="6">
        <f>IF($E18="","",MAX(0,$E18-SUMIFS($D$2:$D18,$B$2:$B18,$B18)))</f>
        <v/>
      </c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6">
        <f>IF($D18="","",IF(AND($D18=0,SUM($H18:$S18)=0),"OK",IF(SUM($H18:$S18)=0,"Sem detalhe",IF(AND(OR(SUM($H18:$I18)=$D18,SUM($H18:$I18)=0),OR(SUM($J18:$K18)=$D18,SUM($J18:$K18)=0),OR(SUM($L18:$S18)=$D18,SUM($L18:$S18)=0)),"OK","Verificar: "&amp;IF(AND(SUM($H18:$I18)&lt;&gt;$D18,SUM($H18:$I18)&lt;&gt;0),"perfil ","")&amp;IF(AND(SUM($J18:$K18)&lt;&gt;$D18,SUM($J18:$K18)&lt;&gt;0),"gênero ","")&amp;IF(AND(SUM($L18:$S18)&lt;&gt;$D18,SUM($L18:$S18)&lt;&gt;0),"professor","")))))</f>
        <v/>
      </c>
      <c r="U18" s="5" t="n"/>
    </row>
    <row r="19" ht="18" customHeight="1">
      <c r="A19" s="3" t="n">
        <v>46071</v>
      </c>
      <c r="B19" s="4">
        <f>IF($A19="","",CHOOSE(MONTH($A19),"Janeiro","Fevereiro","Março","Abril","Maio","Junho","Julho","Agosto","Setembro","Outubro","Novembro","Dezembro"))</f>
        <v/>
      </c>
      <c r="C19" s="4">
        <f>IF($A19="","",CHOOSE(WEEKDAY($A19),"Domingo","Segunda-feira","Terça-feira","Quarta-feira","Quinta-feira","Sexta-feira","Sábado"))</f>
        <v/>
      </c>
      <c r="D19" s="5" t="n"/>
      <c r="E19" s="6">
        <f>IFERROR(INDEX(Consolidado_Mensal!$B$2:$B$12,MATCH($B19,Consolidado_Mensal!$A$2:$A$12,0)),"")</f>
        <v/>
      </c>
      <c r="F19" s="7">
        <f>IF($E19="","",SUMIFS($D$2:$D19,$B$2:$B19,$B19)/$E19)</f>
        <v/>
      </c>
      <c r="G19" s="6">
        <f>IF($E19="","",MAX(0,$E19-SUMIFS($D$2:$D19,$B$2:$B19,$B19)))</f>
        <v/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6">
        <f>IF($D19="","",IF(AND($D19=0,SUM($H19:$S19)=0),"OK",IF(SUM($H19:$S19)=0,"Sem detalhe",IF(AND(OR(SUM($H19:$I19)=$D19,SUM($H19:$I19)=0),OR(SUM($J19:$K19)=$D19,SUM($J19:$K19)=0),OR(SUM($L19:$S19)=$D19,SUM($L19:$S19)=0)),"OK","Verificar: "&amp;IF(AND(SUM($H19:$I19)&lt;&gt;$D19,SUM($H19:$I19)&lt;&gt;0),"perfil ","")&amp;IF(AND(SUM($J19:$K19)&lt;&gt;$D19,SUM($J19:$K19)&lt;&gt;0),"gênero ","")&amp;IF(AND(SUM($L19:$S19)&lt;&gt;$D19,SUM($L19:$S19)&lt;&gt;0),"professor","")))))</f>
        <v/>
      </c>
      <c r="U19" s="5" t="n"/>
    </row>
    <row r="20" ht="18" customHeight="1">
      <c r="A20" s="3" t="n">
        <v>46072</v>
      </c>
      <c r="B20" s="4">
        <f>IF($A20="","",CHOOSE(MONTH($A20),"Janeiro","Fevereiro","Março","Abril","Maio","Junho","Julho","Agosto","Setembro","Outubro","Novembro","Dezembro"))</f>
        <v/>
      </c>
      <c r="C20" s="4">
        <f>IF($A20="","",CHOOSE(WEEKDAY($A20),"Domingo","Segunda-feira","Terça-feira","Quarta-feira","Quinta-feira","Sexta-feira","Sábado"))</f>
        <v/>
      </c>
      <c r="D20" s="5" t="n"/>
      <c r="E20" s="6">
        <f>IFERROR(INDEX(Consolidado_Mensal!$B$2:$B$12,MATCH($B20,Consolidado_Mensal!$A$2:$A$12,0)),"")</f>
        <v/>
      </c>
      <c r="F20" s="7">
        <f>IF($E20="","",SUMIFS($D$2:$D20,$B$2:$B20,$B20)/$E20)</f>
        <v/>
      </c>
      <c r="G20" s="6">
        <f>IF($E20="","",MAX(0,$E20-SUMIFS($D$2:$D20,$B$2:$B20,$B20)))</f>
        <v/>
      </c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6">
        <f>IF($D20="","",IF(AND($D20=0,SUM($H20:$S20)=0),"OK",IF(SUM($H20:$S20)=0,"Sem detalhe",IF(AND(OR(SUM($H20:$I20)=$D20,SUM($H20:$I20)=0),OR(SUM($J20:$K20)=$D20,SUM($J20:$K20)=0),OR(SUM($L20:$S20)=$D20,SUM($L20:$S20)=0)),"OK","Verificar: "&amp;IF(AND(SUM($H20:$I20)&lt;&gt;$D20,SUM($H20:$I20)&lt;&gt;0),"perfil ","")&amp;IF(AND(SUM($J20:$K20)&lt;&gt;$D20,SUM($J20:$K20)&lt;&gt;0),"gênero ","")&amp;IF(AND(SUM($L20:$S20)&lt;&gt;$D20,SUM($L20:$S20)&lt;&gt;0),"professor","")))))</f>
        <v/>
      </c>
      <c r="U20" s="5" t="n"/>
    </row>
    <row r="21" ht="18" customHeight="1">
      <c r="A21" s="3" t="n">
        <v>46073</v>
      </c>
      <c r="B21" s="4">
        <f>IF($A21="","",CHOOSE(MONTH($A21),"Janeiro","Fevereiro","Março","Abril","Maio","Junho","Julho","Agosto","Setembro","Outubro","Novembro","Dezembro"))</f>
        <v/>
      </c>
      <c r="C21" s="4">
        <f>IF($A21="","",CHOOSE(WEEKDAY($A21),"Domingo","Segunda-feira","Terça-feira","Quarta-feira","Quinta-feira","Sexta-feira","Sábado"))</f>
        <v/>
      </c>
      <c r="D21" s="5" t="n"/>
      <c r="E21" s="6">
        <f>IFERROR(INDEX(Consolidado_Mensal!$B$2:$B$12,MATCH($B21,Consolidado_Mensal!$A$2:$A$12,0)),"")</f>
        <v/>
      </c>
      <c r="F21" s="7">
        <f>IF($E21="","",SUMIFS($D$2:$D21,$B$2:$B21,$B21)/$E21)</f>
        <v/>
      </c>
      <c r="G21" s="6">
        <f>IF($E21="","",MAX(0,$E21-SUMIFS($D$2:$D21,$B$2:$B21,$B21)))</f>
        <v/>
      </c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6">
        <f>IF($D21="","",IF(AND($D21=0,SUM($H21:$S21)=0),"OK",IF(SUM($H21:$S21)=0,"Sem detalhe",IF(AND(OR(SUM($H21:$I21)=$D21,SUM($H21:$I21)=0),OR(SUM($J21:$K21)=$D21,SUM($J21:$K21)=0),OR(SUM($L21:$S21)=$D21,SUM($L21:$S21)=0)),"OK","Verificar: "&amp;IF(AND(SUM($H21:$I21)&lt;&gt;$D21,SUM($H21:$I21)&lt;&gt;0),"perfil ","")&amp;IF(AND(SUM($J21:$K21)&lt;&gt;$D21,SUM($J21:$K21)&lt;&gt;0),"gênero ","")&amp;IF(AND(SUM($L21:$S21)&lt;&gt;$D21,SUM($L21:$S21)&lt;&gt;0),"professor","")))))</f>
        <v/>
      </c>
      <c r="U21" s="5" t="n"/>
    </row>
    <row r="22" ht="18" customHeight="1">
      <c r="A22" s="3" t="n">
        <v>46074</v>
      </c>
      <c r="B22" s="4">
        <f>IF($A22="","",CHOOSE(MONTH($A22),"Janeiro","Fevereiro","Março","Abril","Maio","Junho","Julho","Agosto","Setembro","Outubro","Novembro","Dezembro"))</f>
        <v/>
      </c>
      <c r="C22" s="4">
        <f>IF($A22="","",CHOOSE(WEEKDAY($A22),"Domingo","Segunda-feira","Terça-feira","Quarta-feira","Quinta-feira","Sexta-feira","Sábado"))</f>
        <v/>
      </c>
      <c r="D22" s="5" t="n"/>
      <c r="E22" s="6">
        <f>IFERROR(INDEX(Consolidado_Mensal!$B$2:$B$12,MATCH($B22,Consolidado_Mensal!$A$2:$A$12,0)),"")</f>
        <v/>
      </c>
      <c r="F22" s="7">
        <f>IF($E22="","",SUMIFS($D$2:$D22,$B$2:$B22,$B22)/$E22)</f>
        <v/>
      </c>
      <c r="G22" s="6">
        <f>IF($E22="","",MAX(0,$E22-SUMIFS($D$2:$D22,$B$2:$B22,$B22)))</f>
        <v/>
      </c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6">
        <f>IF($D22="","",IF(AND($D22=0,SUM($H22:$S22)=0),"OK",IF(SUM($H22:$S22)=0,"Sem detalhe",IF(AND(OR(SUM($H22:$I22)=$D22,SUM($H22:$I22)=0),OR(SUM($J22:$K22)=$D22,SUM($J22:$K22)=0),OR(SUM($L22:$S22)=$D22,SUM($L22:$S22)=0)),"OK","Verificar: "&amp;IF(AND(SUM($H22:$I22)&lt;&gt;$D22,SUM($H22:$I22)&lt;&gt;0),"perfil ","")&amp;IF(AND(SUM($J22:$K22)&lt;&gt;$D22,SUM($J22:$K22)&lt;&gt;0),"gênero ","")&amp;IF(AND(SUM($L22:$S22)&lt;&gt;$D22,SUM($L22:$S22)&lt;&gt;0),"professor","")))))</f>
        <v/>
      </c>
      <c r="U22" s="5" t="n"/>
    </row>
    <row r="23" ht="18" customHeight="1">
      <c r="A23" s="3" t="n">
        <v>46075</v>
      </c>
      <c r="B23" s="4">
        <f>IF($A23="","",CHOOSE(MONTH($A23),"Janeiro","Fevereiro","Março","Abril","Maio","Junho","Julho","Agosto","Setembro","Outubro","Novembro","Dezembro"))</f>
        <v/>
      </c>
      <c r="C23" s="4">
        <f>IF($A23="","",CHOOSE(WEEKDAY($A23),"Domingo","Segunda-feira","Terça-feira","Quarta-feira","Quinta-feira","Sexta-feira","Sábado"))</f>
        <v/>
      </c>
      <c r="D23" s="5" t="n"/>
      <c r="E23" s="6">
        <f>IFERROR(INDEX(Consolidado_Mensal!$B$2:$B$12,MATCH($B23,Consolidado_Mensal!$A$2:$A$12,0)),"")</f>
        <v/>
      </c>
      <c r="F23" s="7">
        <f>IF($E23="","",SUMIFS($D$2:$D23,$B$2:$B23,$B23)/$E23)</f>
        <v/>
      </c>
      <c r="G23" s="6">
        <f>IF($E23="","",MAX(0,$E23-SUMIFS($D$2:$D23,$B$2:$B23,$B23)))</f>
        <v/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6">
        <f>IF($D23="","",IF(AND($D23=0,SUM($H23:$S23)=0),"OK",IF(SUM($H23:$S23)=0,"Sem detalhe",IF(AND(OR(SUM($H23:$I23)=$D23,SUM($H23:$I23)=0),OR(SUM($J23:$K23)=$D23,SUM($J23:$K23)=0),OR(SUM($L23:$S23)=$D23,SUM($L23:$S23)=0)),"OK","Verificar: "&amp;IF(AND(SUM($H23:$I23)&lt;&gt;$D23,SUM($H23:$I23)&lt;&gt;0),"perfil ","")&amp;IF(AND(SUM($J23:$K23)&lt;&gt;$D23,SUM($J23:$K23)&lt;&gt;0),"gênero ","")&amp;IF(AND(SUM($L23:$S23)&lt;&gt;$D23,SUM($L23:$S23)&lt;&gt;0),"professor","")))))</f>
        <v/>
      </c>
      <c r="U23" s="5" t="n"/>
    </row>
    <row r="24" ht="18" customHeight="1">
      <c r="A24" s="3" t="n">
        <v>46076</v>
      </c>
      <c r="B24" s="4">
        <f>IF($A24="","",CHOOSE(MONTH($A24),"Janeiro","Fevereiro","Março","Abril","Maio","Junho","Julho","Agosto","Setembro","Outubro","Novembro","Dezembro"))</f>
        <v/>
      </c>
      <c r="C24" s="4">
        <f>IF($A24="","",CHOOSE(WEEKDAY($A24),"Domingo","Segunda-feira","Terça-feira","Quarta-feira","Quinta-feira","Sexta-feira","Sábado"))</f>
        <v/>
      </c>
      <c r="D24" s="5" t="n"/>
      <c r="E24" s="6">
        <f>IFERROR(INDEX(Consolidado_Mensal!$B$2:$B$12,MATCH($B24,Consolidado_Mensal!$A$2:$A$12,0)),"")</f>
        <v/>
      </c>
      <c r="F24" s="7">
        <f>IF($E24="","",SUMIFS($D$2:$D24,$B$2:$B24,$B24)/$E24)</f>
        <v/>
      </c>
      <c r="G24" s="6">
        <f>IF($E24="","",MAX(0,$E24-SUMIFS($D$2:$D24,$B$2:$B24,$B24)))</f>
        <v/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6">
        <f>IF($D24="","",IF(AND($D24=0,SUM($H24:$S24)=0),"OK",IF(SUM($H24:$S24)=0,"Sem detalhe",IF(AND(OR(SUM($H24:$I24)=$D24,SUM($H24:$I24)=0),OR(SUM($J24:$K24)=$D24,SUM($J24:$K24)=0),OR(SUM($L24:$S24)=$D24,SUM($L24:$S24)=0)),"OK","Verificar: "&amp;IF(AND(SUM($H24:$I24)&lt;&gt;$D24,SUM($H24:$I24)&lt;&gt;0),"perfil ","")&amp;IF(AND(SUM($J24:$K24)&lt;&gt;$D24,SUM($J24:$K24)&lt;&gt;0),"gênero ","")&amp;IF(AND(SUM($L24:$S24)&lt;&gt;$D24,SUM($L24:$S24)&lt;&gt;0),"professor","")))))</f>
        <v/>
      </c>
      <c r="U24" s="5" t="n"/>
    </row>
    <row r="25" ht="18" customHeight="1">
      <c r="A25" s="3" t="n">
        <v>46077</v>
      </c>
      <c r="B25" s="4">
        <f>IF($A25="","",CHOOSE(MONTH($A25),"Janeiro","Fevereiro","Março","Abril","Maio","Junho","Julho","Agosto","Setembro","Outubro","Novembro","Dezembro"))</f>
        <v/>
      </c>
      <c r="C25" s="4">
        <f>IF($A25="","",CHOOSE(WEEKDAY($A25),"Domingo","Segunda-feira","Terça-feira","Quarta-feira","Quinta-feira","Sexta-feira","Sábado"))</f>
        <v/>
      </c>
      <c r="D25" s="5" t="n"/>
      <c r="E25" s="6">
        <f>IFERROR(INDEX(Consolidado_Mensal!$B$2:$B$12,MATCH($B25,Consolidado_Mensal!$A$2:$A$12,0)),"")</f>
        <v/>
      </c>
      <c r="F25" s="7">
        <f>IF($E25="","",SUMIFS($D$2:$D25,$B$2:$B25,$B25)/$E25)</f>
        <v/>
      </c>
      <c r="G25" s="6">
        <f>IF($E25="","",MAX(0,$E25-SUMIFS($D$2:$D25,$B$2:$B25,$B25)))</f>
        <v/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6">
        <f>IF($D25="","",IF(AND($D25=0,SUM($H25:$S25)=0),"OK",IF(SUM($H25:$S25)=0,"Sem detalhe",IF(AND(OR(SUM($H25:$I25)=$D25,SUM($H25:$I25)=0),OR(SUM($J25:$K25)=$D25,SUM($J25:$K25)=0),OR(SUM($L25:$S25)=$D25,SUM($L25:$S25)=0)),"OK","Verificar: "&amp;IF(AND(SUM($H25:$I25)&lt;&gt;$D25,SUM($H25:$I25)&lt;&gt;0),"perfil ","")&amp;IF(AND(SUM($J25:$K25)&lt;&gt;$D25,SUM($J25:$K25)&lt;&gt;0),"gênero ","")&amp;IF(AND(SUM($L25:$S25)&lt;&gt;$D25,SUM($L25:$S25)&lt;&gt;0),"professor","")))))</f>
        <v/>
      </c>
      <c r="U25" s="5" t="n"/>
    </row>
    <row r="26" ht="18" customHeight="1">
      <c r="A26" s="3" t="n">
        <v>46078</v>
      </c>
      <c r="B26" s="4">
        <f>IF($A26="","",CHOOSE(MONTH($A26),"Janeiro","Fevereiro","Março","Abril","Maio","Junho","Julho","Agosto","Setembro","Outubro","Novembro","Dezembro"))</f>
        <v/>
      </c>
      <c r="C26" s="4">
        <f>IF($A26="","",CHOOSE(WEEKDAY($A26),"Domingo","Segunda-feira","Terça-feira","Quarta-feira","Quinta-feira","Sexta-feira","Sábado"))</f>
        <v/>
      </c>
      <c r="D26" s="5" t="n"/>
      <c r="E26" s="6">
        <f>IFERROR(INDEX(Consolidado_Mensal!$B$2:$B$12,MATCH($B26,Consolidado_Mensal!$A$2:$A$12,0)),"")</f>
        <v/>
      </c>
      <c r="F26" s="7">
        <f>IF($E26="","",SUMIFS($D$2:$D26,$B$2:$B26,$B26)/$E26)</f>
        <v/>
      </c>
      <c r="G26" s="6">
        <f>IF($E26="","",MAX(0,$E26-SUMIFS($D$2:$D26,$B$2:$B26,$B26)))</f>
        <v/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6">
        <f>IF($D26="","",IF(AND($D26=0,SUM($H26:$S26)=0),"OK",IF(SUM($H26:$S26)=0,"Sem detalhe",IF(AND(OR(SUM($H26:$I26)=$D26,SUM($H26:$I26)=0),OR(SUM($J26:$K26)=$D26,SUM($J26:$K26)=0),OR(SUM($L26:$S26)=$D26,SUM($L26:$S26)=0)),"OK","Verificar: "&amp;IF(AND(SUM($H26:$I26)&lt;&gt;$D26,SUM($H26:$I26)&lt;&gt;0),"perfil ","")&amp;IF(AND(SUM($J26:$K26)&lt;&gt;$D26,SUM($J26:$K26)&lt;&gt;0),"gênero ","")&amp;IF(AND(SUM($L26:$S26)&lt;&gt;$D26,SUM($L26:$S26)&lt;&gt;0),"professor","")))))</f>
        <v/>
      </c>
      <c r="U26" s="5" t="n"/>
    </row>
    <row r="27" ht="18" customHeight="1">
      <c r="A27" s="3" t="n">
        <v>46079</v>
      </c>
      <c r="B27" s="4">
        <f>IF($A27="","",CHOOSE(MONTH($A27),"Janeiro","Fevereiro","Março","Abril","Maio","Junho","Julho","Agosto","Setembro","Outubro","Novembro","Dezembro"))</f>
        <v/>
      </c>
      <c r="C27" s="4">
        <f>IF($A27="","",CHOOSE(WEEKDAY($A27),"Domingo","Segunda-feira","Terça-feira","Quarta-feira","Quinta-feira","Sexta-feira","Sábado"))</f>
        <v/>
      </c>
      <c r="D27" s="5" t="n"/>
      <c r="E27" s="6">
        <f>IFERROR(INDEX(Consolidado_Mensal!$B$2:$B$12,MATCH($B27,Consolidado_Mensal!$A$2:$A$12,0)),"")</f>
        <v/>
      </c>
      <c r="F27" s="7">
        <f>IF($E27="","",SUMIFS($D$2:$D27,$B$2:$B27,$B27)/$E27)</f>
        <v/>
      </c>
      <c r="G27" s="6">
        <f>IF($E27="","",MAX(0,$E27-SUMIFS($D$2:$D27,$B$2:$B27,$B27)))</f>
        <v/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6">
        <f>IF($D27="","",IF(AND($D27=0,SUM($H27:$S27)=0),"OK",IF(SUM($H27:$S27)=0,"Sem detalhe",IF(AND(OR(SUM($H27:$I27)=$D27,SUM($H27:$I27)=0),OR(SUM($J27:$K27)=$D27,SUM($J27:$K27)=0),OR(SUM($L27:$S27)=$D27,SUM($L27:$S27)=0)),"OK","Verificar: "&amp;IF(AND(SUM($H27:$I27)&lt;&gt;$D27,SUM($H27:$I27)&lt;&gt;0),"perfil ","")&amp;IF(AND(SUM($J27:$K27)&lt;&gt;$D27,SUM($J27:$K27)&lt;&gt;0),"gênero ","")&amp;IF(AND(SUM($L27:$S27)&lt;&gt;$D27,SUM($L27:$S27)&lt;&gt;0),"professor","")))))</f>
        <v/>
      </c>
      <c r="U27" s="5" t="n"/>
    </row>
    <row r="28" ht="18" customHeight="1">
      <c r="A28" s="3" t="n">
        <v>46080</v>
      </c>
      <c r="B28" s="4">
        <f>IF($A28="","",CHOOSE(MONTH($A28),"Janeiro","Fevereiro","Março","Abril","Maio","Junho","Julho","Agosto","Setembro","Outubro","Novembro","Dezembro"))</f>
        <v/>
      </c>
      <c r="C28" s="4">
        <f>IF($A28="","",CHOOSE(WEEKDAY($A28),"Domingo","Segunda-feira","Terça-feira","Quarta-feira","Quinta-feira","Sexta-feira","Sábado"))</f>
        <v/>
      </c>
      <c r="D28" s="5" t="n"/>
      <c r="E28" s="6">
        <f>IFERROR(INDEX(Consolidado_Mensal!$B$2:$B$12,MATCH($B28,Consolidado_Mensal!$A$2:$A$12,0)),"")</f>
        <v/>
      </c>
      <c r="F28" s="7">
        <f>IF($E28="","",SUMIFS($D$2:$D28,$B$2:$B28,$B28)/$E28)</f>
        <v/>
      </c>
      <c r="G28" s="6">
        <f>IF($E28="","",MAX(0,$E28-SUMIFS($D$2:$D28,$B$2:$B28,$B28)))</f>
        <v/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6">
        <f>IF($D28="","",IF(AND($D28=0,SUM($H28:$S28)=0),"OK",IF(SUM($H28:$S28)=0,"Sem detalhe",IF(AND(OR(SUM($H28:$I28)=$D28,SUM($H28:$I28)=0),OR(SUM($J28:$K28)=$D28,SUM($J28:$K28)=0),OR(SUM($L28:$S28)=$D28,SUM($L28:$S28)=0)),"OK","Verificar: "&amp;IF(AND(SUM($H28:$I28)&lt;&gt;$D28,SUM($H28:$I28)&lt;&gt;0),"perfil ","")&amp;IF(AND(SUM($J28:$K28)&lt;&gt;$D28,SUM($J28:$K28)&lt;&gt;0),"gênero ","")&amp;IF(AND(SUM($L28:$S28)&lt;&gt;$D28,SUM($L28:$S28)&lt;&gt;0),"professor","")))))</f>
        <v/>
      </c>
      <c r="U28" s="5" t="n"/>
    </row>
    <row r="29" ht="18" customHeight="1">
      <c r="A29" s="3" t="n">
        <v>46081</v>
      </c>
      <c r="B29" s="4">
        <f>IF($A29="","",CHOOSE(MONTH($A29),"Janeiro","Fevereiro","Março","Abril","Maio","Junho","Julho","Agosto","Setembro","Outubro","Novembro","Dezembro"))</f>
        <v/>
      </c>
      <c r="C29" s="4">
        <f>IF($A29="","",CHOOSE(WEEKDAY($A29),"Domingo","Segunda-feira","Terça-feira","Quarta-feira","Quinta-feira","Sexta-feira","Sábado"))</f>
        <v/>
      </c>
      <c r="D29" s="5" t="n"/>
      <c r="E29" s="6">
        <f>IFERROR(INDEX(Consolidado_Mensal!$B$2:$B$12,MATCH($B29,Consolidado_Mensal!$A$2:$A$12,0)),"")</f>
        <v/>
      </c>
      <c r="F29" s="7">
        <f>IF($E29="","",SUMIFS($D$2:$D29,$B$2:$B29,$B29)/$E29)</f>
        <v/>
      </c>
      <c r="G29" s="6">
        <f>IF($E29="","",MAX(0,$E29-SUMIFS($D$2:$D29,$B$2:$B29,$B29)))</f>
        <v/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6">
        <f>IF($D29="","",IF(AND($D29=0,SUM($H29:$S29)=0),"OK",IF(SUM($H29:$S29)=0,"Sem detalhe",IF(AND(OR(SUM($H29:$I29)=$D29,SUM($H29:$I29)=0),OR(SUM($J29:$K29)=$D29,SUM($J29:$K29)=0),OR(SUM($L29:$S29)=$D29,SUM($L29:$S29)=0)),"OK","Verificar: "&amp;IF(AND(SUM($H29:$I29)&lt;&gt;$D29,SUM($H29:$I29)&lt;&gt;0),"perfil ","")&amp;IF(AND(SUM($J29:$K29)&lt;&gt;$D29,SUM($J29:$K29)&lt;&gt;0),"gênero ","")&amp;IF(AND(SUM($L29:$S29)&lt;&gt;$D29,SUM($L29:$S29)&lt;&gt;0),"professor","")))))</f>
        <v/>
      </c>
      <c r="U29" s="5" t="n"/>
    </row>
    <row r="30" ht="18" customHeight="1">
      <c r="A30" s="3" t="n">
        <v>46082</v>
      </c>
      <c r="B30" s="4">
        <f>IF($A30="","",CHOOSE(MONTH($A30),"Janeiro","Fevereiro","Março","Abril","Maio","Junho","Julho","Agosto","Setembro","Outubro","Novembro","Dezembro"))</f>
        <v/>
      </c>
      <c r="C30" s="4">
        <f>IF($A30="","",CHOOSE(WEEKDAY($A30),"Domingo","Segunda-feira","Terça-feira","Quarta-feira","Quinta-feira","Sexta-feira","Sábado"))</f>
        <v/>
      </c>
      <c r="D30" s="5" t="n"/>
      <c r="E30" s="6">
        <f>IFERROR(INDEX(Consolidado_Mensal!$B$2:$B$12,MATCH($B30,Consolidado_Mensal!$A$2:$A$12,0)),"")</f>
        <v/>
      </c>
      <c r="F30" s="7">
        <f>IF($E30="","",SUMIFS($D$2:$D30,$B$2:$B30,$B30)/$E30)</f>
        <v/>
      </c>
      <c r="G30" s="6">
        <f>IF($E30="","",MAX(0,$E30-SUMIFS($D$2:$D30,$B$2:$B30,$B30)))</f>
        <v/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6">
        <f>IF($D30="","",IF(AND($D30=0,SUM($H30:$S30)=0),"OK",IF(SUM($H30:$S30)=0,"Sem detalhe",IF(AND(OR(SUM($H30:$I30)=$D30,SUM($H30:$I30)=0),OR(SUM($J30:$K30)=$D30,SUM($J30:$K30)=0),OR(SUM($L30:$S30)=$D30,SUM($L30:$S30)=0)),"OK","Verificar: "&amp;IF(AND(SUM($H30:$I30)&lt;&gt;$D30,SUM($H30:$I30)&lt;&gt;0),"perfil ","")&amp;IF(AND(SUM($J30:$K30)&lt;&gt;$D30,SUM($J30:$K30)&lt;&gt;0),"gênero ","")&amp;IF(AND(SUM($L30:$S30)&lt;&gt;$D30,SUM($L30:$S30)&lt;&gt;0),"professor","")))))</f>
        <v/>
      </c>
      <c r="U30" s="5" t="n"/>
    </row>
    <row r="31" ht="18" customHeight="1">
      <c r="A31" s="3" t="n">
        <v>46083</v>
      </c>
      <c r="B31" s="4">
        <f>IF($A31="","",CHOOSE(MONTH($A31),"Janeiro","Fevereiro","Março","Abril","Maio","Junho","Julho","Agosto","Setembro","Outubro","Novembro","Dezembro"))</f>
        <v/>
      </c>
      <c r="C31" s="4">
        <f>IF($A31="","",CHOOSE(WEEKDAY($A31),"Domingo","Segunda-feira","Terça-feira","Quarta-feira","Quinta-feira","Sexta-feira","Sábado"))</f>
        <v/>
      </c>
      <c r="D31" s="5" t="n">
        <v>3</v>
      </c>
      <c r="E31" s="6">
        <f>IFERROR(INDEX(Consolidado_Mensal!$B$2:$B$12,MATCH($B31,Consolidado_Mensal!$A$2:$A$12,0)),"")</f>
        <v/>
      </c>
      <c r="F31" s="7">
        <f>IF($E31="","",SUMIFS($D$2:$D31,$B$2:$B31,$B31)/$E31)</f>
        <v/>
      </c>
      <c r="G31" s="6">
        <f>IF($E31="","",MAX(0,$E31-SUMIFS($D$2:$D31,$B$2:$B31,$B31)))</f>
        <v/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6">
        <f>IF($D31="","",IF(AND($D31=0,SUM($H31:$S31)=0),"OK",IF(SUM($H31:$S31)=0,"Sem detalhe",IF(AND(OR(SUM($H31:$I31)=$D31,SUM($H31:$I31)=0),OR(SUM($J31:$K31)=$D31,SUM($J31:$K31)=0),OR(SUM($L31:$S31)=$D31,SUM($L31:$S31)=0)),"OK","Verificar: "&amp;IF(AND(SUM($H31:$I31)&lt;&gt;$D31,SUM($H31:$I31)&lt;&gt;0),"perfil ","")&amp;IF(AND(SUM($J31:$K31)&lt;&gt;$D31,SUM($J31:$K31)&lt;&gt;0),"gênero ","")&amp;IF(AND(SUM($L31:$S31)&lt;&gt;$D31,SUM($L31:$S31)&lt;&gt;0),"professor","")))))</f>
        <v/>
      </c>
      <c r="U31" s="5" t="n"/>
    </row>
    <row r="32" ht="18" customHeight="1">
      <c r="A32" s="3" t="n">
        <v>46084</v>
      </c>
      <c r="B32" s="4">
        <f>IF($A32="","",CHOOSE(MONTH($A32),"Janeiro","Fevereiro","Março","Abril","Maio","Junho","Julho","Agosto","Setembro","Outubro","Novembro","Dezembro"))</f>
        <v/>
      </c>
      <c r="C32" s="4">
        <f>IF($A32="","",CHOOSE(WEEKDAY($A32),"Domingo","Segunda-feira","Terça-feira","Quarta-feira","Quinta-feira","Sexta-feira","Sábado"))</f>
        <v/>
      </c>
      <c r="D32" s="5" t="n">
        <v>3</v>
      </c>
      <c r="E32" s="6">
        <f>IFERROR(INDEX(Consolidado_Mensal!$B$2:$B$12,MATCH($B32,Consolidado_Mensal!$A$2:$A$12,0)),"")</f>
        <v/>
      </c>
      <c r="F32" s="7">
        <f>IF($E32="","",SUMIFS($D$2:$D32,$B$2:$B32,$B32)/$E32)</f>
        <v/>
      </c>
      <c r="G32" s="6">
        <f>IF($E32="","",MAX(0,$E32-SUMIFS($D$2:$D32,$B$2:$B32,$B32)))</f>
        <v/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6">
        <f>IF($D32="","",IF(AND($D32=0,SUM($H32:$S32)=0),"OK",IF(SUM($H32:$S32)=0,"Sem detalhe",IF(AND(OR(SUM($H32:$I32)=$D32,SUM($H32:$I32)=0),OR(SUM($J32:$K32)=$D32,SUM($J32:$K32)=0),OR(SUM($L32:$S32)=$D32,SUM($L32:$S32)=0)),"OK","Verificar: "&amp;IF(AND(SUM($H32:$I32)&lt;&gt;$D32,SUM($H32:$I32)&lt;&gt;0),"perfil ","")&amp;IF(AND(SUM($J32:$K32)&lt;&gt;$D32,SUM($J32:$K32)&lt;&gt;0),"gênero ","")&amp;IF(AND(SUM($L32:$S32)&lt;&gt;$D32,SUM($L32:$S32)&lt;&gt;0),"professor","")))))</f>
        <v/>
      </c>
      <c r="U32" s="5" t="n"/>
    </row>
    <row r="33" ht="18" customHeight="1">
      <c r="A33" s="3" t="n">
        <v>46085</v>
      </c>
      <c r="B33" s="4">
        <f>IF($A33="","",CHOOSE(MONTH($A33),"Janeiro","Fevereiro","Março","Abril","Maio","Junho","Julho","Agosto","Setembro","Outubro","Novembro","Dezembro"))</f>
        <v/>
      </c>
      <c r="C33" s="4">
        <f>IF($A33="","",CHOOSE(WEEKDAY($A33),"Domingo","Segunda-feira","Terça-feira","Quarta-feira","Quinta-feira","Sexta-feira","Sábado"))</f>
        <v/>
      </c>
      <c r="D33" s="5" t="n">
        <v>4</v>
      </c>
      <c r="E33" s="6">
        <f>IFERROR(INDEX(Consolidado_Mensal!$B$2:$B$12,MATCH($B33,Consolidado_Mensal!$A$2:$A$12,0)),"")</f>
        <v/>
      </c>
      <c r="F33" s="7">
        <f>IF($E33="","",SUMIFS($D$2:$D33,$B$2:$B33,$B33)/$E33)</f>
        <v/>
      </c>
      <c r="G33" s="6">
        <f>IF($E33="","",MAX(0,$E33-SUMIFS($D$2:$D33,$B$2:$B33,$B33)))</f>
        <v/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6">
        <f>IF($D33="","",IF(AND($D33=0,SUM($H33:$S33)=0),"OK",IF(SUM($H33:$S33)=0,"Sem detalhe",IF(AND(OR(SUM($H33:$I33)=$D33,SUM($H33:$I33)=0),OR(SUM($J33:$K33)=$D33,SUM($J33:$K33)=0),OR(SUM($L33:$S33)=$D33,SUM($L33:$S33)=0)),"OK","Verificar: "&amp;IF(AND(SUM($H33:$I33)&lt;&gt;$D33,SUM($H33:$I33)&lt;&gt;0),"perfil ","")&amp;IF(AND(SUM($J33:$K33)&lt;&gt;$D33,SUM($J33:$K33)&lt;&gt;0),"gênero ","")&amp;IF(AND(SUM($L33:$S33)&lt;&gt;$D33,SUM($L33:$S33)&lt;&gt;0),"professor","")))))</f>
        <v/>
      </c>
      <c r="U33" s="5" t="n"/>
    </row>
    <row r="34" ht="18" customHeight="1">
      <c r="A34" s="3" t="n">
        <v>46086</v>
      </c>
      <c r="B34" s="4">
        <f>IF($A34="","",CHOOSE(MONTH($A34),"Janeiro","Fevereiro","Março","Abril","Maio","Junho","Julho","Agosto","Setembro","Outubro","Novembro","Dezembro"))</f>
        <v/>
      </c>
      <c r="C34" s="4">
        <f>IF($A34="","",CHOOSE(WEEKDAY($A34),"Domingo","Segunda-feira","Terça-feira","Quarta-feira","Quinta-feira","Sexta-feira","Sábado"))</f>
        <v/>
      </c>
      <c r="D34" s="5" t="n">
        <v>3</v>
      </c>
      <c r="E34" s="6">
        <f>IFERROR(INDEX(Consolidado_Mensal!$B$2:$B$12,MATCH($B34,Consolidado_Mensal!$A$2:$A$12,0)),"")</f>
        <v/>
      </c>
      <c r="F34" s="7">
        <f>IF($E34="","",SUMIFS($D$2:$D34,$B$2:$B34,$B34)/$E34)</f>
        <v/>
      </c>
      <c r="G34" s="6">
        <f>IF($E34="","",MAX(0,$E34-SUMIFS($D$2:$D34,$B$2:$B34,$B34)))</f>
        <v/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6">
        <f>IF($D34="","",IF(AND($D34=0,SUM($H34:$S34)=0),"OK",IF(SUM($H34:$S34)=0,"Sem detalhe",IF(AND(OR(SUM($H34:$I34)=$D34,SUM($H34:$I34)=0),OR(SUM($J34:$K34)=$D34,SUM($J34:$K34)=0),OR(SUM($L34:$S34)=$D34,SUM($L34:$S34)=0)),"OK","Verificar: "&amp;IF(AND(SUM($H34:$I34)&lt;&gt;$D34,SUM($H34:$I34)&lt;&gt;0),"perfil ","")&amp;IF(AND(SUM($J34:$K34)&lt;&gt;$D34,SUM($J34:$K34)&lt;&gt;0),"gênero ","")&amp;IF(AND(SUM($L34:$S34)&lt;&gt;$D34,SUM($L34:$S34)&lt;&gt;0),"professor","")))))</f>
        <v/>
      </c>
      <c r="U34" s="5" t="n"/>
    </row>
    <row r="35" ht="18" customHeight="1">
      <c r="A35" s="3" t="n">
        <v>46087</v>
      </c>
      <c r="B35" s="4">
        <f>IF($A35="","",CHOOSE(MONTH($A35),"Janeiro","Fevereiro","Março","Abril","Maio","Junho","Julho","Agosto","Setembro","Outubro","Novembro","Dezembro"))</f>
        <v/>
      </c>
      <c r="C35" s="4">
        <f>IF($A35="","",CHOOSE(WEEKDAY($A35),"Domingo","Segunda-feira","Terça-feira","Quarta-feira","Quinta-feira","Sexta-feira","Sábado"))</f>
        <v/>
      </c>
      <c r="D35" s="5" t="n">
        <v>2</v>
      </c>
      <c r="E35" s="6">
        <f>IFERROR(INDEX(Consolidado_Mensal!$B$2:$B$12,MATCH($B35,Consolidado_Mensal!$A$2:$A$12,0)),"")</f>
        <v/>
      </c>
      <c r="F35" s="7">
        <f>IF($E35="","",SUMIFS($D$2:$D35,$B$2:$B35,$B35)/$E35)</f>
        <v/>
      </c>
      <c r="G35" s="6">
        <f>IF($E35="","",MAX(0,$E35-SUMIFS($D$2:$D35,$B$2:$B35,$B35)))</f>
        <v/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6">
        <f>IF($D35="","",IF(AND($D35=0,SUM($H35:$S35)=0),"OK",IF(SUM($H35:$S35)=0,"Sem detalhe",IF(AND(OR(SUM($H35:$I35)=$D35,SUM($H35:$I35)=0),OR(SUM($J35:$K35)=$D35,SUM($J35:$K35)=0),OR(SUM($L35:$S35)=$D35,SUM($L35:$S35)=0)),"OK","Verificar: "&amp;IF(AND(SUM($H35:$I35)&lt;&gt;$D35,SUM($H35:$I35)&lt;&gt;0),"perfil ","")&amp;IF(AND(SUM($J35:$K35)&lt;&gt;$D35,SUM($J35:$K35)&lt;&gt;0),"gênero ","")&amp;IF(AND(SUM($L35:$S35)&lt;&gt;$D35,SUM($L35:$S35)&lt;&gt;0),"professor","")))))</f>
        <v/>
      </c>
      <c r="U35" s="5" t="n"/>
    </row>
    <row r="36" ht="18" customHeight="1">
      <c r="A36" s="3" t="n">
        <v>46088</v>
      </c>
      <c r="B36" s="4">
        <f>IF($A36="","",CHOOSE(MONTH($A36),"Janeiro","Fevereiro","Março","Abril","Maio","Junho","Julho","Agosto","Setembro","Outubro","Novembro","Dezembro"))</f>
        <v/>
      </c>
      <c r="C36" s="4">
        <f>IF($A36="","",CHOOSE(WEEKDAY($A36),"Domingo","Segunda-feira","Terça-feira","Quarta-feira","Quinta-feira","Sexta-feira","Sábado"))</f>
        <v/>
      </c>
      <c r="D36" s="5" t="n"/>
      <c r="E36" s="6">
        <f>IFERROR(INDEX(Consolidado_Mensal!$B$2:$B$12,MATCH($B36,Consolidado_Mensal!$A$2:$A$12,0)),"")</f>
        <v/>
      </c>
      <c r="F36" s="7">
        <f>IF($E36="","",SUMIFS($D$2:$D36,$B$2:$B36,$B36)/$E36)</f>
        <v/>
      </c>
      <c r="G36" s="6">
        <f>IF($E36="","",MAX(0,$E36-SUMIFS($D$2:$D36,$B$2:$B36,$B36)))</f>
        <v/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6">
        <f>IF($D36="","",IF(AND($D36=0,SUM($H36:$S36)=0),"OK",IF(SUM($H36:$S36)=0,"Sem detalhe",IF(AND(OR(SUM($H36:$I36)=$D36,SUM($H36:$I36)=0),OR(SUM($J36:$K36)=$D36,SUM($J36:$K36)=0),OR(SUM($L36:$S36)=$D36,SUM($L36:$S36)=0)),"OK","Verificar: "&amp;IF(AND(SUM($H36:$I36)&lt;&gt;$D36,SUM($H36:$I36)&lt;&gt;0),"perfil ","")&amp;IF(AND(SUM($J36:$K36)&lt;&gt;$D36,SUM($J36:$K36)&lt;&gt;0),"gênero ","")&amp;IF(AND(SUM($L36:$S36)&lt;&gt;$D36,SUM($L36:$S36)&lt;&gt;0),"professor","")))))</f>
        <v/>
      </c>
      <c r="U36" s="5" t="n"/>
    </row>
    <row r="37" ht="18" customHeight="1">
      <c r="A37" s="3" t="n">
        <v>46089</v>
      </c>
      <c r="B37" s="4">
        <f>IF($A37="","",CHOOSE(MONTH($A37),"Janeiro","Fevereiro","Março","Abril","Maio","Junho","Julho","Agosto","Setembro","Outubro","Novembro","Dezembro"))</f>
        <v/>
      </c>
      <c r="C37" s="4">
        <f>IF($A37="","",CHOOSE(WEEKDAY($A37),"Domingo","Segunda-feira","Terça-feira","Quarta-feira","Quinta-feira","Sexta-feira","Sábado"))</f>
        <v/>
      </c>
      <c r="D37" s="5" t="n"/>
      <c r="E37" s="6">
        <f>IFERROR(INDEX(Consolidado_Mensal!$B$2:$B$12,MATCH($B37,Consolidado_Mensal!$A$2:$A$12,0)),"")</f>
        <v/>
      </c>
      <c r="F37" s="7">
        <f>IF($E37="","",SUMIFS($D$2:$D37,$B$2:$B37,$B37)/$E37)</f>
        <v/>
      </c>
      <c r="G37" s="6">
        <f>IF($E37="","",MAX(0,$E37-SUMIFS($D$2:$D37,$B$2:$B37,$B37)))</f>
        <v/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6">
        <f>IF($D37="","",IF(AND($D37=0,SUM($H37:$S37)=0),"OK",IF(SUM($H37:$S37)=0,"Sem detalhe",IF(AND(OR(SUM($H37:$I37)=$D37,SUM($H37:$I37)=0),OR(SUM($J37:$K37)=$D37,SUM($J37:$K37)=0),OR(SUM($L37:$S37)=$D37,SUM($L37:$S37)=0)),"OK","Verificar: "&amp;IF(AND(SUM($H37:$I37)&lt;&gt;$D37,SUM($H37:$I37)&lt;&gt;0),"perfil ","")&amp;IF(AND(SUM($J37:$K37)&lt;&gt;$D37,SUM($J37:$K37)&lt;&gt;0),"gênero ","")&amp;IF(AND(SUM($L37:$S37)&lt;&gt;$D37,SUM($L37:$S37)&lt;&gt;0),"professor","")))))</f>
        <v/>
      </c>
      <c r="U37" s="5" t="n"/>
    </row>
    <row r="38" ht="18" customHeight="1">
      <c r="A38" s="3" t="n">
        <v>46090</v>
      </c>
      <c r="B38" s="4">
        <f>IF($A38="","",CHOOSE(MONTH($A38),"Janeiro","Fevereiro","Março","Abril","Maio","Junho","Julho","Agosto","Setembro","Outubro","Novembro","Dezembro"))</f>
        <v/>
      </c>
      <c r="C38" s="4">
        <f>IF($A38="","",CHOOSE(WEEKDAY($A38),"Domingo","Segunda-feira","Terça-feira","Quarta-feira","Quinta-feira","Sexta-feira","Sábado"))</f>
        <v/>
      </c>
      <c r="D38" s="5" t="n">
        <v>1</v>
      </c>
      <c r="E38" s="6">
        <f>IFERROR(INDEX(Consolidado_Mensal!$B$2:$B$12,MATCH($B38,Consolidado_Mensal!$A$2:$A$12,0)),"")</f>
        <v/>
      </c>
      <c r="F38" s="7">
        <f>IF($E38="","",SUMIFS($D$2:$D38,$B$2:$B38,$B38)/$E38)</f>
        <v/>
      </c>
      <c r="G38" s="6">
        <f>IF($E38="","",MAX(0,$E38-SUMIFS($D$2:$D38,$B$2:$B38,$B38)))</f>
        <v/>
      </c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6">
        <f>IF($D38="","",IF(AND($D38=0,SUM($H38:$S38)=0),"OK",IF(SUM($H38:$S38)=0,"Sem detalhe",IF(AND(OR(SUM($H38:$I38)=$D38,SUM($H38:$I38)=0),OR(SUM($J38:$K38)=$D38,SUM($J38:$K38)=0),OR(SUM($L38:$S38)=$D38,SUM($L38:$S38)=0)),"OK","Verificar: "&amp;IF(AND(SUM($H38:$I38)&lt;&gt;$D38,SUM($H38:$I38)&lt;&gt;0),"perfil ","")&amp;IF(AND(SUM($J38:$K38)&lt;&gt;$D38,SUM($J38:$K38)&lt;&gt;0),"gênero ","")&amp;IF(AND(SUM($L38:$S38)&lt;&gt;$D38,SUM($L38:$S38)&lt;&gt;0),"professor","")))))</f>
        <v/>
      </c>
      <c r="U38" s="5" t="n"/>
    </row>
    <row r="39" ht="18" customHeight="1">
      <c r="A39" s="3" t="n">
        <v>46091</v>
      </c>
      <c r="B39" s="4">
        <f>IF($A39="","",CHOOSE(MONTH($A39),"Janeiro","Fevereiro","Março","Abril","Maio","Junho","Julho","Agosto","Setembro","Outubro","Novembro","Dezembro"))</f>
        <v/>
      </c>
      <c r="C39" s="4">
        <f>IF($A39="","",CHOOSE(WEEKDAY($A39),"Domingo","Segunda-feira","Terça-feira","Quarta-feira","Quinta-feira","Sexta-feira","Sábado"))</f>
        <v/>
      </c>
      <c r="D39" s="5" t="n">
        <v>4</v>
      </c>
      <c r="E39" s="6">
        <f>IFERROR(INDEX(Consolidado_Mensal!$B$2:$B$12,MATCH($B39,Consolidado_Mensal!$A$2:$A$12,0)),"")</f>
        <v/>
      </c>
      <c r="F39" s="7">
        <f>IF($E39="","",SUMIFS($D$2:$D39,$B$2:$B39,$B39)/$E39)</f>
        <v/>
      </c>
      <c r="G39" s="6">
        <f>IF($E39="","",MAX(0,$E39-SUMIFS($D$2:$D39,$B$2:$B39,$B39)))</f>
        <v/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6">
        <f>IF($D39="","",IF(AND($D39=0,SUM($H39:$S39)=0),"OK",IF(SUM($H39:$S39)=0,"Sem detalhe",IF(AND(OR(SUM($H39:$I39)=$D39,SUM($H39:$I39)=0),OR(SUM($J39:$K39)=$D39,SUM($J39:$K39)=0),OR(SUM($L39:$S39)=$D39,SUM($L39:$S39)=0)),"OK","Verificar: "&amp;IF(AND(SUM($H39:$I39)&lt;&gt;$D39,SUM($H39:$I39)&lt;&gt;0),"perfil ","")&amp;IF(AND(SUM($J39:$K39)&lt;&gt;$D39,SUM($J39:$K39)&lt;&gt;0),"gênero ","")&amp;IF(AND(SUM($L39:$S39)&lt;&gt;$D39,SUM($L39:$S39)&lt;&gt;0),"professor","")))))</f>
        <v/>
      </c>
      <c r="U39" s="5" t="n"/>
    </row>
    <row r="40" ht="18" customHeight="1">
      <c r="A40" s="3" t="n">
        <v>46092</v>
      </c>
      <c r="B40" s="4">
        <f>IF($A40="","",CHOOSE(MONTH($A40),"Janeiro","Fevereiro","Março","Abril","Maio","Junho","Julho","Agosto","Setembro","Outubro","Novembro","Dezembro"))</f>
        <v/>
      </c>
      <c r="C40" s="4">
        <f>IF($A40="","",CHOOSE(WEEKDAY($A40),"Domingo","Segunda-feira","Terça-feira","Quarta-feira","Quinta-feira","Sexta-feira","Sábado"))</f>
        <v/>
      </c>
      <c r="D40" s="5" t="n">
        <v>1</v>
      </c>
      <c r="E40" s="6">
        <f>IFERROR(INDEX(Consolidado_Mensal!$B$2:$B$12,MATCH($B40,Consolidado_Mensal!$A$2:$A$12,0)),"")</f>
        <v/>
      </c>
      <c r="F40" s="7">
        <f>IF($E40="","",SUMIFS($D$2:$D40,$B$2:$B40,$B40)/$E40)</f>
        <v/>
      </c>
      <c r="G40" s="6">
        <f>IF($E40="","",MAX(0,$E40-SUMIFS($D$2:$D40,$B$2:$B40,$B40)))</f>
        <v/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6">
        <f>IF($D40="","",IF(AND($D40=0,SUM($H40:$S40)=0),"OK",IF(SUM($H40:$S40)=0,"Sem detalhe",IF(AND(OR(SUM($H40:$I40)=$D40,SUM($H40:$I40)=0),OR(SUM($J40:$K40)=$D40,SUM($J40:$K40)=0),OR(SUM($L40:$S40)=$D40,SUM($L40:$S40)=0)),"OK","Verificar: "&amp;IF(AND(SUM($H40:$I40)&lt;&gt;$D40,SUM($H40:$I40)&lt;&gt;0),"perfil ","")&amp;IF(AND(SUM($J40:$K40)&lt;&gt;$D40,SUM($J40:$K40)&lt;&gt;0),"gênero ","")&amp;IF(AND(SUM($L40:$S40)&lt;&gt;$D40,SUM($L40:$S40)&lt;&gt;0),"professor","")))))</f>
        <v/>
      </c>
      <c r="U40" s="5" t="n"/>
    </row>
    <row r="41" ht="18" customHeight="1">
      <c r="A41" s="3" t="n">
        <v>46093</v>
      </c>
      <c r="B41" s="4">
        <f>IF($A41="","",CHOOSE(MONTH($A41),"Janeiro","Fevereiro","Março","Abril","Maio","Junho","Julho","Agosto","Setembro","Outubro","Novembro","Dezembro"))</f>
        <v/>
      </c>
      <c r="C41" s="4">
        <f>IF($A41="","",CHOOSE(WEEKDAY($A41),"Domingo","Segunda-feira","Terça-feira","Quarta-feira","Quinta-feira","Sexta-feira","Sábado"))</f>
        <v/>
      </c>
      <c r="D41" s="5" t="n">
        <v>4</v>
      </c>
      <c r="E41" s="6">
        <f>IFERROR(INDEX(Consolidado_Mensal!$B$2:$B$12,MATCH($B41,Consolidado_Mensal!$A$2:$A$12,0)),"")</f>
        <v/>
      </c>
      <c r="F41" s="7">
        <f>IF($E41="","",SUMIFS($D$2:$D41,$B$2:$B41,$B41)/$E41)</f>
        <v/>
      </c>
      <c r="G41" s="6">
        <f>IF($E41="","",MAX(0,$E41-SUMIFS($D$2:$D41,$B$2:$B41,$B41)))</f>
        <v/>
      </c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6">
        <f>IF($D41="","",IF(AND($D41=0,SUM($H41:$S41)=0),"OK",IF(SUM($H41:$S41)=0,"Sem detalhe",IF(AND(OR(SUM($H41:$I41)=$D41,SUM($H41:$I41)=0),OR(SUM($J41:$K41)=$D41,SUM($J41:$K41)=0),OR(SUM($L41:$S41)=$D41,SUM($L41:$S41)=0)),"OK","Verificar: "&amp;IF(AND(SUM($H41:$I41)&lt;&gt;$D41,SUM($H41:$I41)&lt;&gt;0),"perfil ","")&amp;IF(AND(SUM($J41:$K41)&lt;&gt;$D41,SUM($J41:$K41)&lt;&gt;0),"gênero ","")&amp;IF(AND(SUM($L41:$S41)&lt;&gt;$D41,SUM($L41:$S41)&lt;&gt;0),"professor","")))))</f>
        <v/>
      </c>
      <c r="U41" s="5" t="n"/>
    </row>
    <row r="42" ht="18" customHeight="1">
      <c r="A42" s="3" t="n">
        <v>46094</v>
      </c>
      <c r="B42" s="4">
        <f>IF($A42="","",CHOOSE(MONTH($A42),"Janeiro","Fevereiro","Março","Abril","Maio","Junho","Julho","Agosto","Setembro","Outubro","Novembro","Dezembro"))</f>
        <v/>
      </c>
      <c r="C42" s="4">
        <f>IF($A42="","",CHOOSE(WEEKDAY($A42),"Domingo","Segunda-feira","Terça-feira","Quarta-feira","Quinta-feira","Sexta-feira","Sábado"))</f>
        <v/>
      </c>
      <c r="D42" s="5" t="n"/>
      <c r="E42" s="6">
        <f>IFERROR(INDEX(Consolidado_Mensal!$B$2:$B$12,MATCH($B42,Consolidado_Mensal!$A$2:$A$12,0)),"")</f>
        <v/>
      </c>
      <c r="F42" s="7">
        <f>IF($E42="","",SUMIFS($D$2:$D42,$B$2:$B42,$B42)/$E42)</f>
        <v/>
      </c>
      <c r="G42" s="6">
        <f>IF($E42="","",MAX(0,$E42-SUMIFS($D$2:$D42,$B$2:$B42,$B42)))</f>
        <v/>
      </c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6">
        <f>IF($D42="","",IF(AND($D42=0,SUM($H42:$S42)=0),"OK",IF(SUM($H42:$S42)=0,"Sem detalhe",IF(AND(OR(SUM($H42:$I42)=$D42,SUM($H42:$I42)=0),OR(SUM($J42:$K42)=$D42,SUM($J42:$K42)=0),OR(SUM($L42:$S42)=$D42,SUM($L42:$S42)=0)),"OK","Verificar: "&amp;IF(AND(SUM($H42:$I42)&lt;&gt;$D42,SUM($H42:$I42)&lt;&gt;0),"perfil ","")&amp;IF(AND(SUM($J42:$K42)&lt;&gt;$D42,SUM($J42:$K42)&lt;&gt;0),"gênero ","")&amp;IF(AND(SUM($L42:$S42)&lt;&gt;$D42,SUM($L42:$S42)&lt;&gt;0),"professor","")))))</f>
        <v/>
      </c>
      <c r="U42" s="5" t="n"/>
    </row>
    <row r="43" ht="18" customHeight="1">
      <c r="A43" s="3" t="n">
        <v>46095</v>
      </c>
      <c r="B43" s="4">
        <f>IF($A43="","",CHOOSE(MONTH($A43),"Janeiro","Fevereiro","Março","Abril","Maio","Junho","Julho","Agosto","Setembro","Outubro","Novembro","Dezembro"))</f>
        <v/>
      </c>
      <c r="C43" s="4">
        <f>IF($A43="","",CHOOSE(WEEKDAY($A43),"Domingo","Segunda-feira","Terça-feira","Quarta-feira","Quinta-feira","Sexta-feira","Sábado"))</f>
        <v/>
      </c>
      <c r="D43" s="5" t="n"/>
      <c r="E43" s="6">
        <f>IFERROR(INDEX(Consolidado_Mensal!$B$2:$B$12,MATCH($B43,Consolidado_Mensal!$A$2:$A$12,0)),"")</f>
        <v/>
      </c>
      <c r="F43" s="7">
        <f>IF($E43="","",SUMIFS($D$2:$D43,$B$2:$B43,$B43)/$E43)</f>
        <v/>
      </c>
      <c r="G43" s="6">
        <f>IF($E43="","",MAX(0,$E43-SUMIFS($D$2:$D43,$B$2:$B43,$B43)))</f>
        <v/>
      </c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6">
        <f>IF($D43="","",IF(AND($D43=0,SUM($H43:$S43)=0),"OK",IF(SUM($H43:$S43)=0,"Sem detalhe",IF(AND(OR(SUM($H43:$I43)=$D43,SUM($H43:$I43)=0),OR(SUM($J43:$K43)=$D43,SUM($J43:$K43)=0),OR(SUM($L43:$S43)=$D43,SUM($L43:$S43)=0)),"OK","Verificar: "&amp;IF(AND(SUM($H43:$I43)&lt;&gt;$D43,SUM($H43:$I43)&lt;&gt;0),"perfil ","")&amp;IF(AND(SUM($J43:$K43)&lt;&gt;$D43,SUM($J43:$K43)&lt;&gt;0),"gênero ","")&amp;IF(AND(SUM($L43:$S43)&lt;&gt;$D43,SUM($L43:$S43)&lt;&gt;0),"professor","")))))</f>
        <v/>
      </c>
      <c r="U43" s="5" t="n"/>
    </row>
    <row r="44" ht="18" customHeight="1">
      <c r="A44" s="3" t="n">
        <v>46096</v>
      </c>
      <c r="B44" s="4">
        <f>IF($A44="","",CHOOSE(MONTH($A44),"Janeiro","Fevereiro","Março","Abril","Maio","Junho","Julho","Agosto","Setembro","Outubro","Novembro","Dezembro"))</f>
        <v/>
      </c>
      <c r="C44" s="4">
        <f>IF($A44="","",CHOOSE(WEEKDAY($A44),"Domingo","Segunda-feira","Terça-feira","Quarta-feira","Quinta-feira","Sexta-feira","Sábado"))</f>
        <v/>
      </c>
      <c r="D44" s="5" t="n"/>
      <c r="E44" s="6">
        <f>IFERROR(INDEX(Consolidado_Mensal!$B$2:$B$12,MATCH($B44,Consolidado_Mensal!$A$2:$A$12,0)),"")</f>
        <v/>
      </c>
      <c r="F44" s="7">
        <f>IF($E44="","",SUMIFS($D$2:$D44,$B$2:$B44,$B44)/$E44)</f>
        <v/>
      </c>
      <c r="G44" s="6">
        <f>IF($E44="","",MAX(0,$E44-SUMIFS($D$2:$D44,$B$2:$B44,$B44)))</f>
        <v/>
      </c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6">
        <f>IF($D44="","",IF(AND($D44=0,SUM($H44:$S44)=0),"OK",IF(SUM($H44:$S44)=0,"Sem detalhe",IF(AND(OR(SUM($H44:$I44)=$D44,SUM($H44:$I44)=0),OR(SUM($J44:$K44)=$D44,SUM($J44:$K44)=0),OR(SUM($L44:$S44)=$D44,SUM($L44:$S44)=0)),"OK","Verificar: "&amp;IF(AND(SUM($H44:$I44)&lt;&gt;$D44,SUM($H44:$I44)&lt;&gt;0),"perfil ","")&amp;IF(AND(SUM($J44:$K44)&lt;&gt;$D44,SUM($J44:$K44)&lt;&gt;0),"gênero ","")&amp;IF(AND(SUM($L44:$S44)&lt;&gt;$D44,SUM($L44:$S44)&lt;&gt;0),"professor","")))))</f>
        <v/>
      </c>
      <c r="U44" s="5" t="n"/>
    </row>
    <row r="45" ht="18" customHeight="1">
      <c r="A45" s="3" t="n">
        <v>46097</v>
      </c>
      <c r="B45" s="4">
        <f>IF($A45="","",CHOOSE(MONTH($A45),"Janeiro","Fevereiro","Março","Abril","Maio","Junho","Julho","Agosto","Setembro","Outubro","Novembro","Dezembro"))</f>
        <v/>
      </c>
      <c r="C45" s="4">
        <f>IF($A45="","",CHOOSE(WEEKDAY($A45),"Domingo","Segunda-feira","Terça-feira","Quarta-feira","Quinta-feira","Sexta-feira","Sábado"))</f>
        <v/>
      </c>
      <c r="D45" s="5" t="n">
        <v>3</v>
      </c>
      <c r="E45" s="6">
        <f>IFERROR(INDEX(Consolidado_Mensal!$B$2:$B$12,MATCH($B45,Consolidado_Mensal!$A$2:$A$12,0)),"")</f>
        <v/>
      </c>
      <c r="F45" s="7">
        <f>IF($E45="","",SUMIFS($D$2:$D45,$B$2:$B45,$B45)/$E45)</f>
        <v/>
      </c>
      <c r="G45" s="6">
        <f>IF($E45="","",MAX(0,$E45-SUMIFS($D$2:$D45,$B$2:$B45,$B45)))</f>
        <v/>
      </c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6">
        <f>IF($D45="","",IF(AND($D45=0,SUM($H45:$S45)=0),"OK",IF(SUM($H45:$S45)=0,"Sem detalhe",IF(AND(OR(SUM($H45:$I45)=$D45,SUM($H45:$I45)=0),OR(SUM($J45:$K45)=$D45,SUM($J45:$K45)=0),OR(SUM($L45:$S45)=$D45,SUM($L45:$S45)=0)),"OK","Verificar: "&amp;IF(AND(SUM($H45:$I45)&lt;&gt;$D45,SUM($H45:$I45)&lt;&gt;0),"perfil ","")&amp;IF(AND(SUM($J45:$K45)&lt;&gt;$D45,SUM($J45:$K45)&lt;&gt;0),"gênero ","")&amp;IF(AND(SUM($L45:$S45)&lt;&gt;$D45,SUM($L45:$S45)&lt;&gt;0),"professor","")))))</f>
        <v/>
      </c>
      <c r="U45" s="5" t="n"/>
    </row>
    <row r="46" ht="18" customHeight="1">
      <c r="A46" s="3" t="n">
        <v>46098</v>
      </c>
      <c r="B46" s="4">
        <f>IF($A46="","",CHOOSE(MONTH($A46),"Janeiro","Fevereiro","Março","Abril","Maio","Junho","Julho","Agosto","Setembro","Outubro","Novembro","Dezembro"))</f>
        <v/>
      </c>
      <c r="C46" s="4">
        <f>IF($A46="","",CHOOSE(WEEKDAY($A46),"Domingo","Segunda-feira","Terça-feira","Quarta-feira","Quinta-feira","Sexta-feira","Sábado"))</f>
        <v/>
      </c>
      <c r="D46" s="5" t="n">
        <v>4</v>
      </c>
      <c r="E46" s="6">
        <f>IFERROR(INDEX(Consolidado_Mensal!$B$2:$B$12,MATCH($B46,Consolidado_Mensal!$A$2:$A$12,0)),"")</f>
        <v/>
      </c>
      <c r="F46" s="7">
        <f>IF($E46="","",SUMIFS($D$2:$D46,$B$2:$B46,$B46)/$E46)</f>
        <v/>
      </c>
      <c r="G46" s="6">
        <f>IF($E46="","",MAX(0,$E46-SUMIFS($D$2:$D46,$B$2:$B46,$B46)))</f>
        <v/>
      </c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6">
        <f>IF($D46="","",IF(AND($D46=0,SUM($H46:$S46)=0),"OK",IF(SUM($H46:$S46)=0,"Sem detalhe",IF(AND(OR(SUM($H46:$I46)=$D46,SUM($H46:$I46)=0),OR(SUM($J46:$K46)=$D46,SUM($J46:$K46)=0),OR(SUM($L46:$S46)=$D46,SUM($L46:$S46)=0)),"OK","Verificar: "&amp;IF(AND(SUM($H46:$I46)&lt;&gt;$D46,SUM($H46:$I46)&lt;&gt;0),"perfil ","")&amp;IF(AND(SUM($J46:$K46)&lt;&gt;$D46,SUM($J46:$K46)&lt;&gt;0),"gênero ","")&amp;IF(AND(SUM($L46:$S46)&lt;&gt;$D46,SUM($L46:$S46)&lt;&gt;0),"professor","")))))</f>
        <v/>
      </c>
      <c r="U46" s="5" t="n"/>
    </row>
    <row r="47" ht="18" customHeight="1">
      <c r="A47" s="3" t="n">
        <v>46099</v>
      </c>
      <c r="B47" s="4">
        <f>IF($A47="","",CHOOSE(MONTH($A47),"Janeiro","Fevereiro","Março","Abril","Maio","Junho","Julho","Agosto","Setembro","Outubro","Novembro","Dezembro"))</f>
        <v/>
      </c>
      <c r="C47" s="4">
        <f>IF($A47="","",CHOOSE(WEEKDAY($A47),"Domingo","Segunda-feira","Terça-feira","Quarta-feira","Quinta-feira","Sexta-feira","Sábado"))</f>
        <v/>
      </c>
      <c r="D47" s="5" t="n">
        <v>4</v>
      </c>
      <c r="E47" s="6">
        <f>IFERROR(INDEX(Consolidado_Mensal!$B$2:$B$12,MATCH($B47,Consolidado_Mensal!$A$2:$A$12,0)),"")</f>
        <v/>
      </c>
      <c r="F47" s="7">
        <f>IF($E47="","",SUMIFS($D$2:$D47,$B$2:$B47,$B47)/$E47)</f>
        <v/>
      </c>
      <c r="G47" s="6">
        <f>IF($E47="","",MAX(0,$E47-SUMIFS($D$2:$D47,$B$2:$B47,$B47)))</f>
        <v/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6">
        <f>IF($D47="","",IF(AND($D47=0,SUM($H47:$S47)=0),"OK",IF(SUM($H47:$S47)=0,"Sem detalhe",IF(AND(OR(SUM($H47:$I47)=$D47,SUM($H47:$I47)=0),OR(SUM($J47:$K47)=$D47,SUM($J47:$K47)=0),OR(SUM($L47:$S47)=$D47,SUM($L47:$S47)=0)),"OK","Verificar: "&amp;IF(AND(SUM($H47:$I47)&lt;&gt;$D47,SUM($H47:$I47)&lt;&gt;0),"perfil ","")&amp;IF(AND(SUM($J47:$K47)&lt;&gt;$D47,SUM($J47:$K47)&lt;&gt;0),"gênero ","")&amp;IF(AND(SUM($L47:$S47)&lt;&gt;$D47,SUM($L47:$S47)&lt;&gt;0),"professor","")))))</f>
        <v/>
      </c>
      <c r="U47" s="5" t="n"/>
    </row>
    <row r="48" ht="18" customHeight="1">
      <c r="A48" s="3" t="n">
        <v>46100</v>
      </c>
      <c r="B48" s="4">
        <f>IF($A48="","",CHOOSE(MONTH($A48),"Janeiro","Fevereiro","Março","Abril","Maio","Junho","Julho","Agosto","Setembro","Outubro","Novembro","Dezembro"))</f>
        <v/>
      </c>
      <c r="C48" s="4">
        <f>IF($A48="","",CHOOSE(WEEKDAY($A48),"Domingo","Segunda-feira","Terça-feira","Quarta-feira","Quinta-feira","Sexta-feira","Sábado"))</f>
        <v/>
      </c>
      <c r="D48" s="5" t="n">
        <v>1</v>
      </c>
      <c r="E48" s="6">
        <f>IFERROR(INDEX(Consolidado_Mensal!$B$2:$B$12,MATCH($B48,Consolidado_Mensal!$A$2:$A$12,0)),"")</f>
        <v/>
      </c>
      <c r="F48" s="7">
        <f>IF($E48="","",SUMIFS($D$2:$D48,$B$2:$B48,$B48)/$E48)</f>
        <v/>
      </c>
      <c r="G48" s="6">
        <f>IF($E48="","",MAX(0,$E48-SUMIFS($D$2:$D48,$B$2:$B48,$B48)))</f>
        <v/>
      </c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6">
        <f>IF($D48="","",IF(AND($D48=0,SUM($H48:$S48)=0),"OK",IF(SUM($H48:$S48)=0,"Sem detalhe",IF(AND(OR(SUM($H48:$I48)=$D48,SUM($H48:$I48)=0),OR(SUM($J48:$K48)=$D48,SUM($J48:$K48)=0),OR(SUM($L48:$S48)=$D48,SUM($L48:$S48)=0)),"OK","Verificar: "&amp;IF(AND(SUM($H48:$I48)&lt;&gt;$D48,SUM($H48:$I48)&lt;&gt;0),"perfil ","")&amp;IF(AND(SUM($J48:$K48)&lt;&gt;$D48,SUM($J48:$K48)&lt;&gt;0),"gênero ","")&amp;IF(AND(SUM($L48:$S48)&lt;&gt;$D48,SUM($L48:$S48)&lt;&gt;0),"professor","")))))</f>
        <v/>
      </c>
      <c r="U48" s="5" t="n"/>
    </row>
    <row r="49" ht="18" customHeight="1">
      <c r="A49" s="3" t="n">
        <v>46101</v>
      </c>
      <c r="B49" s="4">
        <f>IF($A49="","",CHOOSE(MONTH($A49),"Janeiro","Fevereiro","Março","Abril","Maio","Junho","Julho","Agosto","Setembro","Outubro","Novembro","Dezembro"))</f>
        <v/>
      </c>
      <c r="C49" s="4">
        <f>IF($A49="","",CHOOSE(WEEKDAY($A49),"Domingo","Segunda-feira","Terça-feira","Quarta-feira","Quinta-feira","Sexta-feira","Sábado"))</f>
        <v/>
      </c>
      <c r="D49" s="5" t="n"/>
      <c r="E49" s="6">
        <f>IFERROR(INDEX(Consolidado_Mensal!$B$2:$B$12,MATCH($B49,Consolidado_Mensal!$A$2:$A$12,0)),"")</f>
        <v/>
      </c>
      <c r="F49" s="7">
        <f>IF($E49="","",SUMIFS($D$2:$D49,$B$2:$B49,$B49)/$E49)</f>
        <v/>
      </c>
      <c r="G49" s="6">
        <f>IF($E49="","",MAX(0,$E49-SUMIFS($D$2:$D49,$B$2:$B49,$B49)))</f>
        <v/>
      </c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6">
        <f>IF($D49="","",IF(AND($D49=0,SUM($H49:$S49)=0),"OK",IF(SUM($H49:$S49)=0,"Sem detalhe",IF(AND(OR(SUM($H49:$I49)=$D49,SUM($H49:$I49)=0),OR(SUM($J49:$K49)=$D49,SUM($J49:$K49)=0),OR(SUM($L49:$S49)=$D49,SUM($L49:$S49)=0)),"OK","Verificar: "&amp;IF(AND(SUM($H49:$I49)&lt;&gt;$D49,SUM($H49:$I49)&lt;&gt;0),"perfil ","")&amp;IF(AND(SUM($J49:$K49)&lt;&gt;$D49,SUM($J49:$K49)&lt;&gt;0),"gênero ","")&amp;IF(AND(SUM($L49:$S49)&lt;&gt;$D49,SUM($L49:$S49)&lt;&gt;0),"professor","")))))</f>
        <v/>
      </c>
      <c r="U49" s="5" t="n"/>
    </row>
    <row r="50" ht="18" customHeight="1">
      <c r="A50" s="3" t="n">
        <v>46102</v>
      </c>
      <c r="B50" s="4">
        <f>IF($A50="","",CHOOSE(MONTH($A50),"Janeiro","Fevereiro","Março","Abril","Maio","Junho","Julho","Agosto","Setembro","Outubro","Novembro","Dezembro"))</f>
        <v/>
      </c>
      <c r="C50" s="4">
        <f>IF($A50="","",CHOOSE(WEEKDAY($A50),"Domingo","Segunda-feira","Terça-feira","Quarta-feira","Quinta-feira","Sexta-feira","Sábado"))</f>
        <v/>
      </c>
      <c r="D50" s="5" t="n"/>
      <c r="E50" s="6">
        <f>IFERROR(INDEX(Consolidado_Mensal!$B$2:$B$12,MATCH($B50,Consolidado_Mensal!$A$2:$A$12,0)),"")</f>
        <v/>
      </c>
      <c r="F50" s="7">
        <f>IF($E50="","",SUMIFS($D$2:$D50,$B$2:$B50,$B50)/$E50)</f>
        <v/>
      </c>
      <c r="G50" s="6">
        <f>IF($E50="","",MAX(0,$E50-SUMIFS($D$2:$D50,$B$2:$B50,$B50)))</f>
        <v/>
      </c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6">
        <f>IF($D50="","",IF(AND($D50=0,SUM($H50:$S50)=0),"OK",IF(SUM($H50:$S50)=0,"Sem detalhe",IF(AND(OR(SUM($H50:$I50)=$D50,SUM($H50:$I50)=0),OR(SUM($J50:$K50)=$D50,SUM($J50:$K50)=0),OR(SUM($L50:$S50)=$D50,SUM($L50:$S50)=0)),"OK","Verificar: "&amp;IF(AND(SUM($H50:$I50)&lt;&gt;$D50,SUM($H50:$I50)&lt;&gt;0),"perfil ","")&amp;IF(AND(SUM($J50:$K50)&lt;&gt;$D50,SUM($J50:$K50)&lt;&gt;0),"gênero ","")&amp;IF(AND(SUM($L50:$S50)&lt;&gt;$D50,SUM($L50:$S50)&lt;&gt;0),"professor","")))))</f>
        <v/>
      </c>
      <c r="U50" s="5" t="n"/>
    </row>
    <row r="51" ht="18" customHeight="1">
      <c r="A51" s="3" t="n">
        <v>46103</v>
      </c>
      <c r="B51" s="4">
        <f>IF($A51="","",CHOOSE(MONTH($A51),"Janeiro","Fevereiro","Março","Abril","Maio","Junho","Julho","Agosto","Setembro","Outubro","Novembro","Dezembro"))</f>
        <v/>
      </c>
      <c r="C51" s="4">
        <f>IF($A51="","",CHOOSE(WEEKDAY($A51),"Domingo","Segunda-feira","Terça-feira","Quarta-feira","Quinta-feira","Sexta-feira","Sábado"))</f>
        <v/>
      </c>
      <c r="D51" s="5" t="n"/>
      <c r="E51" s="6">
        <f>IFERROR(INDEX(Consolidado_Mensal!$B$2:$B$12,MATCH($B51,Consolidado_Mensal!$A$2:$A$12,0)),"")</f>
        <v/>
      </c>
      <c r="F51" s="7">
        <f>IF($E51="","",SUMIFS($D$2:$D51,$B$2:$B51,$B51)/$E51)</f>
        <v/>
      </c>
      <c r="G51" s="6">
        <f>IF($E51="","",MAX(0,$E51-SUMIFS($D$2:$D51,$B$2:$B51,$B51)))</f>
        <v/>
      </c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6">
        <f>IF($D51="","",IF(AND($D51=0,SUM($H51:$S51)=0),"OK",IF(SUM($H51:$S51)=0,"Sem detalhe",IF(AND(OR(SUM($H51:$I51)=$D51,SUM($H51:$I51)=0),OR(SUM($J51:$K51)=$D51,SUM($J51:$K51)=0),OR(SUM($L51:$S51)=$D51,SUM($L51:$S51)=0)),"OK","Verificar: "&amp;IF(AND(SUM($H51:$I51)&lt;&gt;$D51,SUM($H51:$I51)&lt;&gt;0),"perfil ","")&amp;IF(AND(SUM($J51:$K51)&lt;&gt;$D51,SUM($J51:$K51)&lt;&gt;0),"gênero ","")&amp;IF(AND(SUM($L51:$S51)&lt;&gt;$D51,SUM($L51:$S51)&lt;&gt;0),"professor","")))))</f>
        <v/>
      </c>
      <c r="U51" s="5" t="n"/>
    </row>
    <row r="52" ht="18" customHeight="1">
      <c r="A52" s="3" t="n">
        <v>46104</v>
      </c>
      <c r="B52" s="4">
        <f>IF($A52="","",CHOOSE(MONTH($A52),"Janeiro","Fevereiro","Março","Abril","Maio","Junho","Julho","Agosto","Setembro","Outubro","Novembro","Dezembro"))</f>
        <v/>
      </c>
      <c r="C52" s="4">
        <f>IF($A52="","",CHOOSE(WEEKDAY($A52),"Domingo","Segunda-feira","Terça-feira","Quarta-feira","Quinta-feira","Sexta-feira","Sábado"))</f>
        <v/>
      </c>
      <c r="D52" s="5" t="n"/>
      <c r="E52" s="6">
        <f>IFERROR(INDEX(Consolidado_Mensal!$B$2:$B$12,MATCH($B52,Consolidado_Mensal!$A$2:$A$12,0)),"")</f>
        <v/>
      </c>
      <c r="F52" s="7">
        <f>IF($E52="","",SUMIFS($D$2:$D52,$B$2:$B52,$B52)/$E52)</f>
        <v/>
      </c>
      <c r="G52" s="6">
        <f>IF($E52="","",MAX(0,$E52-SUMIFS($D$2:$D52,$B$2:$B52,$B52)))</f>
        <v/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6">
        <f>IF($D52="","",IF(AND($D52=0,SUM($H52:$S52)=0),"OK",IF(SUM($H52:$S52)=0,"Sem detalhe",IF(AND(OR(SUM($H52:$I52)=$D52,SUM($H52:$I52)=0),OR(SUM($J52:$K52)=$D52,SUM($J52:$K52)=0),OR(SUM($L52:$S52)=$D52,SUM($L52:$S52)=0)),"OK","Verificar: "&amp;IF(AND(SUM($H52:$I52)&lt;&gt;$D52,SUM($H52:$I52)&lt;&gt;0),"perfil ","")&amp;IF(AND(SUM($J52:$K52)&lt;&gt;$D52,SUM($J52:$K52)&lt;&gt;0),"gênero ","")&amp;IF(AND(SUM($L52:$S52)&lt;&gt;$D52,SUM($L52:$S52)&lt;&gt;0),"professor","")))))</f>
        <v/>
      </c>
      <c r="U52" s="5" t="n"/>
    </row>
    <row r="53" ht="18" customHeight="1">
      <c r="A53" s="3" t="n">
        <v>46105</v>
      </c>
      <c r="B53" s="4">
        <f>IF($A53="","",CHOOSE(MONTH($A53),"Janeiro","Fevereiro","Março","Abril","Maio","Junho","Julho","Agosto","Setembro","Outubro","Novembro","Dezembro"))</f>
        <v/>
      </c>
      <c r="C53" s="4">
        <f>IF($A53="","",CHOOSE(WEEKDAY($A53),"Domingo","Segunda-feira","Terça-feira","Quarta-feira","Quinta-feira","Sexta-feira","Sábado"))</f>
        <v/>
      </c>
      <c r="D53" s="5" t="n">
        <v>2</v>
      </c>
      <c r="E53" s="6">
        <f>IFERROR(INDEX(Consolidado_Mensal!$B$2:$B$12,MATCH($B53,Consolidado_Mensal!$A$2:$A$12,0)),"")</f>
        <v/>
      </c>
      <c r="F53" s="7">
        <f>IF($E53="","",SUMIFS($D$2:$D53,$B$2:$B53,$B53)/$E53)</f>
        <v/>
      </c>
      <c r="G53" s="6">
        <f>IF($E53="","",MAX(0,$E53-SUMIFS($D$2:$D53,$B$2:$B53,$B53)))</f>
        <v/>
      </c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6">
        <f>IF($D53="","",IF(AND($D53=0,SUM($H53:$S53)=0),"OK",IF(SUM($H53:$S53)=0,"Sem detalhe",IF(AND(OR(SUM($H53:$I53)=$D53,SUM($H53:$I53)=0),OR(SUM($J53:$K53)=$D53,SUM($J53:$K53)=0),OR(SUM($L53:$S53)=$D53,SUM($L53:$S53)=0)),"OK","Verificar: "&amp;IF(AND(SUM($H53:$I53)&lt;&gt;$D53,SUM($H53:$I53)&lt;&gt;0),"perfil ","")&amp;IF(AND(SUM($J53:$K53)&lt;&gt;$D53,SUM($J53:$K53)&lt;&gt;0),"gênero ","")&amp;IF(AND(SUM($L53:$S53)&lt;&gt;$D53,SUM($L53:$S53)&lt;&gt;0),"professor","")))))</f>
        <v/>
      </c>
      <c r="U53" s="5" t="n"/>
    </row>
    <row r="54" ht="18" customHeight="1">
      <c r="A54" s="3" t="n">
        <v>46106</v>
      </c>
      <c r="B54" s="4">
        <f>IF($A54="","",CHOOSE(MONTH($A54),"Janeiro","Fevereiro","Março","Abril","Maio","Junho","Julho","Agosto","Setembro","Outubro","Novembro","Dezembro"))</f>
        <v/>
      </c>
      <c r="C54" s="4">
        <f>IF($A54="","",CHOOSE(WEEKDAY($A54),"Domingo","Segunda-feira","Terça-feira","Quarta-feira","Quinta-feira","Sexta-feira","Sábado"))</f>
        <v/>
      </c>
      <c r="D54" s="5" t="n">
        <v>1</v>
      </c>
      <c r="E54" s="6">
        <f>IFERROR(INDEX(Consolidado_Mensal!$B$2:$B$12,MATCH($B54,Consolidado_Mensal!$A$2:$A$12,0)),"")</f>
        <v/>
      </c>
      <c r="F54" s="7">
        <f>IF($E54="","",SUMIFS($D$2:$D54,$B$2:$B54,$B54)/$E54)</f>
        <v/>
      </c>
      <c r="G54" s="6">
        <f>IF($E54="","",MAX(0,$E54-SUMIFS($D$2:$D54,$B$2:$B54,$B54)))</f>
        <v/>
      </c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6">
        <f>IF($D54="","",IF(AND($D54=0,SUM($H54:$S54)=0),"OK",IF(SUM($H54:$S54)=0,"Sem detalhe",IF(AND(OR(SUM($H54:$I54)=$D54,SUM($H54:$I54)=0),OR(SUM($J54:$K54)=$D54,SUM($J54:$K54)=0),OR(SUM($L54:$S54)=$D54,SUM($L54:$S54)=0)),"OK","Verificar: "&amp;IF(AND(SUM($H54:$I54)&lt;&gt;$D54,SUM($H54:$I54)&lt;&gt;0),"perfil ","")&amp;IF(AND(SUM($J54:$K54)&lt;&gt;$D54,SUM($J54:$K54)&lt;&gt;0),"gênero ","")&amp;IF(AND(SUM($L54:$S54)&lt;&gt;$D54,SUM($L54:$S54)&lt;&gt;0),"professor","")))))</f>
        <v/>
      </c>
      <c r="U54" s="5" t="n"/>
    </row>
    <row r="55" ht="18" customHeight="1">
      <c r="A55" s="3" t="n">
        <v>46107</v>
      </c>
      <c r="B55" s="4">
        <f>IF($A55="","",CHOOSE(MONTH($A55),"Janeiro","Fevereiro","Março","Abril","Maio","Junho","Julho","Agosto","Setembro","Outubro","Novembro","Dezembro"))</f>
        <v/>
      </c>
      <c r="C55" s="4">
        <f>IF($A55="","",CHOOSE(WEEKDAY($A55),"Domingo","Segunda-feira","Terça-feira","Quarta-feira","Quinta-feira","Sexta-feira","Sábado"))</f>
        <v/>
      </c>
      <c r="D55" s="5" t="n">
        <v>1</v>
      </c>
      <c r="E55" s="6">
        <f>IFERROR(INDEX(Consolidado_Mensal!$B$2:$B$12,MATCH($B55,Consolidado_Mensal!$A$2:$A$12,0)),"")</f>
        <v/>
      </c>
      <c r="F55" s="7">
        <f>IF($E55="","",SUMIFS($D$2:$D55,$B$2:$B55,$B55)/$E55)</f>
        <v/>
      </c>
      <c r="G55" s="6">
        <f>IF($E55="","",MAX(0,$E55-SUMIFS($D$2:$D55,$B$2:$B55,$B55)))</f>
        <v/>
      </c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6">
        <f>IF($D55="","",IF(AND($D55=0,SUM($H55:$S55)=0),"OK",IF(SUM($H55:$S55)=0,"Sem detalhe",IF(AND(OR(SUM($H55:$I55)=$D55,SUM($H55:$I55)=0),OR(SUM($J55:$K55)=$D55,SUM($J55:$K55)=0),OR(SUM($L55:$S55)=$D55,SUM($L55:$S55)=0)),"OK","Verificar: "&amp;IF(AND(SUM($H55:$I55)&lt;&gt;$D55,SUM($H55:$I55)&lt;&gt;0),"perfil ","")&amp;IF(AND(SUM($J55:$K55)&lt;&gt;$D55,SUM($J55:$K55)&lt;&gt;0),"gênero ","")&amp;IF(AND(SUM($L55:$S55)&lt;&gt;$D55,SUM($L55:$S55)&lt;&gt;0),"professor","")))))</f>
        <v/>
      </c>
      <c r="U55" s="5" t="n"/>
    </row>
    <row r="56" ht="18" customHeight="1">
      <c r="A56" s="3" t="n">
        <v>46108</v>
      </c>
      <c r="B56" s="4">
        <f>IF($A56="","",CHOOSE(MONTH($A56),"Janeiro","Fevereiro","Março","Abril","Maio","Junho","Julho","Agosto","Setembro","Outubro","Novembro","Dezembro"))</f>
        <v/>
      </c>
      <c r="C56" s="4">
        <f>IF($A56="","",CHOOSE(WEEKDAY($A56),"Domingo","Segunda-feira","Terça-feira","Quarta-feira","Quinta-feira","Sexta-feira","Sábado"))</f>
        <v/>
      </c>
      <c r="D56" s="5" t="n"/>
      <c r="E56" s="6">
        <f>IFERROR(INDEX(Consolidado_Mensal!$B$2:$B$12,MATCH($B56,Consolidado_Mensal!$A$2:$A$12,0)),"")</f>
        <v/>
      </c>
      <c r="F56" s="7">
        <f>IF($E56="","",SUMIFS($D$2:$D56,$B$2:$B56,$B56)/$E56)</f>
        <v/>
      </c>
      <c r="G56" s="6">
        <f>IF($E56="","",MAX(0,$E56-SUMIFS($D$2:$D56,$B$2:$B56,$B56)))</f>
        <v/>
      </c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6">
        <f>IF($D56="","",IF(AND($D56=0,SUM($H56:$S56)=0),"OK",IF(SUM($H56:$S56)=0,"Sem detalhe",IF(AND(OR(SUM($H56:$I56)=$D56,SUM($H56:$I56)=0),OR(SUM($J56:$K56)=$D56,SUM($J56:$K56)=0),OR(SUM($L56:$S56)=$D56,SUM($L56:$S56)=0)),"OK","Verificar: "&amp;IF(AND(SUM($H56:$I56)&lt;&gt;$D56,SUM($H56:$I56)&lt;&gt;0),"perfil ","")&amp;IF(AND(SUM($J56:$K56)&lt;&gt;$D56,SUM($J56:$K56)&lt;&gt;0),"gênero ","")&amp;IF(AND(SUM($L56:$S56)&lt;&gt;$D56,SUM($L56:$S56)&lt;&gt;0),"professor","")))))</f>
        <v/>
      </c>
      <c r="U56" s="5" t="n"/>
    </row>
    <row r="57" ht="18" customHeight="1">
      <c r="A57" s="3" t="n">
        <v>46109</v>
      </c>
      <c r="B57" s="4">
        <f>IF($A57="","",CHOOSE(MONTH($A57),"Janeiro","Fevereiro","Março","Abril","Maio","Junho","Julho","Agosto","Setembro","Outubro","Novembro","Dezembro"))</f>
        <v/>
      </c>
      <c r="C57" s="4">
        <f>IF($A57="","",CHOOSE(WEEKDAY($A57),"Domingo","Segunda-feira","Terça-feira","Quarta-feira","Quinta-feira","Sexta-feira","Sábado"))</f>
        <v/>
      </c>
      <c r="D57" s="5" t="n"/>
      <c r="E57" s="6">
        <f>IFERROR(INDEX(Consolidado_Mensal!$B$2:$B$12,MATCH($B57,Consolidado_Mensal!$A$2:$A$12,0)),"")</f>
        <v/>
      </c>
      <c r="F57" s="7">
        <f>IF($E57="","",SUMIFS($D$2:$D57,$B$2:$B57,$B57)/$E57)</f>
        <v/>
      </c>
      <c r="G57" s="6">
        <f>IF($E57="","",MAX(0,$E57-SUMIFS($D$2:$D57,$B$2:$B57,$B57)))</f>
        <v/>
      </c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6">
        <f>IF($D57="","",IF(AND($D57=0,SUM($H57:$S57)=0),"OK",IF(SUM($H57:$S57)=0,"Sem detalhe",IF(AND(OR(SUM($H57:$I57)=$D57,SUM($H57:$I57)=0),OR(SUM($J57:$K57)=$D57,SUM($J57:$K57)=0),OR(SUM($L57:$S57)=$D57,SUM($L57:$S57)=0)),"OK","Verificar: "&amp;IF(AND(SUM($H57:$I57)&lt;&gt;$D57,SUM($H57:$I57)&lt;&gt;0),"perfil ","")&amp;IF(AND(SUM($J57:$K57)&lt;&gt;$D57,SUM($J57:$K57)&lt;&gt;0),"gênero ","")&amp;IF(AND(SUM($L57:$S57)&lt;&gt;$D57,SUM($L57:$S57)&lt;&gt;0),"professor","")))))</f>
        <v/>
      </c>
      <c r="U57" s="5" t="n"/>
    </row>
    <row r="58" ht="18" customHeight="1">
      <c r="A58" s="3" t="n">
        <v>46110</v>
      </c>
      <c r="B58" s="4">
        <f>IF($A58="","",CHOOSE(MONTH($A58),"Janeiro","Fevereiro","Março","Abril","Maio","Junho","Julho","Agosto","Setembro","Outubro","Novembro","Dezembro"))</f>
        <v/>
      </c>
      <c r="C58" s="4">
        <f>IF($A58="","",CHOOSE(WEEKDAY($A58),"Domingo","Segunda-feira","Terça-feira","Quarta-feira","Quinta-feira","Sexta-feira","Sábado"))</f>
        <v/>
      </c>
      <c r="D58" s="5" t="n"/>
      <c r="E58" s="6">
        <f>IFERROR(INDEX(Consolidado_Mensal!$B$2:$B$12,MATCH($B58,Consolidado_Mensal!$A$2:$A$12,0)),"")</f>
        <v/>
      </c>
      <c r="F58" s="7">
        <f>IF($E58="","",SUMIFS($D$2:$D58,$B$2:$B58,$B58)/$E58)</f>
        <v/>
      </c>
      <c r="G58" s="6">
        <f>IF($E58="","",MAX(0,$E58-SUMIFS($D$2:$D58,$B$2:$B58,$B58)))</f>
        <v/>
      </c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6">
        <f>IF($D58="","",IF(AND($D58=0,SUM($H58:$S58)=0),"OK",IF(SUM($H58:$S58)=0,"Sem detalhe",IF(AND(OR(SUM($H58:$I58)=$D58,SUM($H58:$I58)=0),OR(SUM($J58:$K58)=$D58,SUM($J58:$K58)=0),OR(SUM($L58:$S58)=$D58,SUM($L58:$S58)=0)),"OK","Verificar: "&amp;IF(AND(SUM($H58:$I58)&lt;&gt;$D58,SUM($H58:$I58)&lt;&gt;0),"perfil ","")&amp;IF(AND(SUM($J58:$K58)&lt;&gt;$D58,SUM($J58:$K58)&lt;&gt;0),"gênero ","")&amp;IF(AND(SUM($L58:$S58)&lt;&gt;$D58,SUM($L58:$S58)&lt;&gt;0),"professor","")))))</f>
        <v/>
      </c>
      <c r="U58" s="5" t="n"/>
    </row>
    <row r="59" ht="18" customHeight="1">
      <c r="A59" s="3" t="n">
        <v>46111</v>
      </c>
      <c r="B59" s="4">
        <f>IF($A59="","",CHOOSE(MONTH($A59),"Janeiro","Fevereiro","Março","Abril","Maio","Junho","Julho","Agosto","Setembro","Outubro","Novembro","Dezembro"))</f>
        <v/>
      </c>
      <c r="C59" s="4">
        <f>IF($A59="","",CHOOSE(WEEKDAY($A59),"Domingo","Segunda-feira","Terça-feira","Quarta-feira","Quinta-feira","Sexta-feira","Sábado"))</f>
        <v/>
      </c>
      <c r="D59" s="5" t="n">
        <v>3</v>
      </c>
      <c r="E59" s="6">
        <f>IFERROR(INDEX(Consolidado_Mensal!$B$2:$B$12,MATCH($B59,Consolidado_Mensal!$A$2:$A$12,0)),"")</f>
        <v/>
      </c>
      <c r="F59" s="7">
        <f>IF($E59="","",SUMIFS($D$2:$D59,$B$2:$B59,$B59)/$E59)</f>
        <v/>
      </c>
      <c r="G59" s="6">
        <f>IF($E59="","",MAX(0,$E59-SUMIFS($D$2:$D59,$B$2:$B59,$B59)))</f>
        <v/>
      </c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6">
        <f>IF($D59="","",IF(AND($D59=0,SUM($H59:$S59)=0),"OK",IF(SUM($H59:$S59)=0,"Sem detalhe",IF(AND(OR(SUM($H59:$I59)=$D59,SUM($H59:$I59)=0),OR(SUM($J59:$K59)=$D59,SUM($J59:$K59)=0),OR(SUM($L59:$S59)=$D59,SUM($L59:$S59)=0)),"OK","Verificar: "&amp;IF(AND(SUM($H59:$I59)&lt;&gt;$D59,SUM($H59:$I59)&lt;&gt;0),"perfil ","")&amp;IF(AND(SUM($J59:$K59)&lt;&gt;$D59,SUM($J59:$K59)&lt;&gt;0),"gênero ","")&amp;IF(AND(SUM($L59:$S59)&lt;&gt;$D59,SUM($L59:$S59)&lt;&gt;0),"professor","")))))</f>
        <v/>
      </c>
      <c r="U59" s="5" t="n"/>
    </row>
    <row r="60" ht="18" customHeight="1">
      <c r="A60" s="3" t="n">
        <v>46112</v>
      </c>
      <c r="B60" s="4">
        <f>IF($A60="","",CHOOSE(MONTH($A60),"Janeiro","Fevereiro","Março","Abril","Maio","Junho","Julho","Agosto","Setembro","Outubro","Novembro","Dezembro"))</f>
        <v/>
      </c>
      <c r="C60" s="4">
        <f>IF($A60="","",CHOOSE(WEEKDAY($A60),"Domingo","Segunda-feira","Terça-feira","Quarta-feira","Quinta-feira","Sexta-feira","Sábado"))</f>
        <v/>
      </c>
      <c r="D60" s="5" t="n">
        <v>5</v>
      </c>
      <c r="E60" s="6">
        <f>IFERROR(INDEX(Consolidado_Mensal!$B$2:$B$12,MATCH($B60,Consolidado_Mensal!$A$2:$A$12,0)),"")</f>
        <v/>
      </c>
      <c r="F60" s="7">
        <f>IF($E60="","",SUMIFS($D$2:$D60,$B$2:$B60,$B60)/$E60)</f>
        <v/>
      </c>
      <c r="G60" s="6">
        <f>IF($E60="","",MAX(0,$E60-SUMIFS($D$2:$D60,$B$2:$B60,$B60)))</f>
        <v/>
      </c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6">
        <f>IF($D60="","",IF(AND($D60=0,SUM($H60:$S60)=0),"OK",IF(SUM($H60:$S60)=0,"Sem detalhe",IF(AND(OR(SUM($H60:$I60)=$D60,SUM($H60:$I60)=0),OR(SUM($J60:$K60)=$D60,SUM($J60:$K60)=0),OR(SUM($L60:$S60)=$D60,SUM($L60:$S60)=0)),"OK","Verificar: "&amp;IF(AND(SUM($H60:$I60)&lt;&gt;$D60,SUM($H60:$I60)&lt;&gt;0),"perfil ","")&amp;IF(AND(SUM($J60:$K60)&lt;&gt;$D60,SUM($J60:$K60)&lt;&gt;0),"gênero ","")&amp;IF(AND(SUM($L60:$S60)&lt;&gt;$D60,SUM($L60:$S60)&lt;&gt;0),"professor","")))))</f>
        <v/>
      </c>
      <c r="U60" s="5" t="n"/>
    </row>
    <row r="61" ht="18" customHeight="1">
      <c r="A61" s="3" t="n">
        <v>46113</v>
      </c>
      <c r="B61" s="4">
        <f>IF($A61="","",CHOOSE(MONTH($A61),"Janeiro","Fevereiro","Março","Abril","Maio","Junho","Julho","Agosto","Setembro","Outubro","Novembro","Dezembro"))</f>
        <v/>
      </c>
      <c r="C61" s="4">
        <f>IF($A61="","",CHOOSE(WEEKDAY($A61),"Domingo","Segunda-feira","Terça-feira","Quarta-feira","Quinta-feira","Sexta-feira","Sábado"))</f>
        <v/>
      </c>
      <c r="D61" s="5" t="n">
        <v>1</v>
      </c>
      <c r="E61" s="6">
        <f>IFERROR(INDEX(Consolidado_Mensal!$B$2:$B$12,MATCH($B61,Consolidado_Mensal!$A$2:$A$12,0)),"")</f>
        <v/>
      </c>
      <c r="F61" s="7">
        <f>IF($E61="","",SUMIFS($D$2:$D61,$B$2:$B61,$B61)/$E61)</f>
        <v/>
      </c>
      <c r="G61" s="6">
        <f>IF($E61="","",MAX(0,$E61-SUMIFS($D$2:$D61,$B$2:$B61,$B61)))</f>
        <v/>
      </c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6">
        <f>IF($D61="","",IF(AND($D61=0,SUM($H61:$S61)=0),"OK",IF(SUM($H61:$S61)=0,"Sem detalhe",IF(AND(OR(SUM($H61:$I61)=$D61,SUM($H61:$I61)=0),OR(SUM($J61:$K61)=$D61,SUM($J61:$K61)=0),OR(SUM($L61:$S61)=$D61,SUM($L61:$S61)=0)),"OK","Verificar: "&amp;IF(AND(SUM($H61:$I61)&lt;&gt;$D61,SUM($H61:$I61)&lt;&gt;0),"perfil ","")&amp;IF(AND(SUM($J61:$K61)&lt;&gt;$D61,SUM($J61:$K61)&lt;&gt;0),"gênero ","")&amp;IF(AND(SUM($L61:$S61)&lt;&gt;$D61,SUM($L61:$S61)&lt;&gt;0),"professor","")))))</f>
        <v/>
      </c>
      <c r="U61" s="5" t="n"/>
    </row>
    <row r="62" ht="18" customHeight="1">
      <c r="A62" s="3" t="n">
        <v>46114</v>
      </c>
      <c r="B62" s="4">
        <f>IF($A62="","",CHOOSE(MONTH($A62),"Janeiro","Fevereiro","Março","Abril","Maio","Junho","Julho","Agosto","Setembro","Outubro","Novembro","Dezembro"))</f>
        <v/>
      </c>
      <c r="C62" s="4">
        <f>IF($A62="","",CHOOSE(WEEKDAY($A62),"Domingo","Segunda-feira","Terça-feira","Quarta-feira","Quinta-feira","Sexta-feira","Sábado"))</f>
        <v/>
      </c>
      <c r="D62" s="5" t="n">
        <v>3</v>
      </c>
      <c r="E62" s="6">
        <f>IFERROR(INDEX(Consolidado_Mensal!$B$2:$B$12,MATCH($B62,Consolidado_Mensal!$A$2:$A$12,0)),"")</f>
        <v/>
      </c>
      <c r="F62" s="7">
        <f>IF($E62="","",SUMIFS($D$2:$D62,$B$2:$B62,$B62)/$E62)</f>
        <v/>
      </c>
      <c r="G62" s="6">
        <f>IF($E62="","",MAX(0,$E62-SUMIFS($D$2:$D62,$B$2:$B62,$B62)))</f>
        <v/>
      </c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6">
        <f>IF($D62="","",IF(AND($D62=0,SUM($H62:$S62)=0),"OK",IF(SUM($H62:$S62)=0,"Sem detalhe",IF(AND(OR(SUM($H62:$I62)=$D62,SUM($H62:$I62)=0),OR(SUM($J62:$K62)=$D62,SUM($J62:$K62)=0),OR(SUM($L62:$S62)=$D62,SUM($L62:$S62)=0)),"OK","Verificar: "&amp;IF(AND(SUM($H62:$I62)&lt;&gt;$D62,SUM($H62:$I62)&lt;&gt;0),"perfil ","")&amp;IF(AND(SUM($J62:$K62)&lt;&gt;$D62,SUM($J62:$K62)&lt;&gt;0),"gênero ","")&amp;IF(AND(SUM($L62:$S62)&lt;&gt;$D62,SUM($L62:$S62)&lt;&gt;0),"professor","")))))</f>
        <v/>
      </c>
      <c r="U62" s="5" t="n"/>
    </row>
    <row r="63" ht="18" customHeight="1">
      <c r="A63" s="3" t="n">
        <v>46115</v>
      </c>
      <c r="B63" s="4">
        <f>IF($A63="","",CHOOSE(MONTH($A63),"Janeiro","Fevereiro","Março","Abril","Maio","Junho","Julho","Agosto","Setembro","Outubro","Novembro","Dezembro"))</f>
        <v/>
      </c>
      <c r="C63" s="4">
        <f>IF($A63="","",CHOOSE(WEEKDAY($A63),"Domingo","Segunda-feira","Terça-feira","Quarta-feira","Quinta-feira","Sexta-feira","Sábado"))</f>
        <v/>
      </c>
      <c r="D63" s="5" t="n"/>
      <c r="E63" s="6">
        <f>IFERROR(INDEX(Consolidado_Mensal!$B$2:$B$12,MATCH($B63,Consolidado_Mensal!$A$2:$A$12,0)),"")</f>
        <v/>
      </c>
      <c r="F63" s="7">
        <f>IF($E63="","",SUMIFS($D$2:$D63,$B$2:$B63,$B63)/$E63)</f>
        <v/>
      </c>
      <c r="G63" s="6">
        <f>IF($E63="","",MAX(0,$E63-SUMIFS($D$2:$D63,$B$2:$B63,$B63)))</f>
        <v/>
      </c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6">
        <f>IF($D63="","",IF(AND($D63=0,SUM($H63:$S63)=0),"OK",IF(SUM($H63:$S63)=0,"Sem detalhe",IF(AND(OR(SUM($H63:$I63)=$D63,SUM($H63:$I63)=0),OR(SUM($J63:$K63)=$D63,SUM($J63:$K63)=0),OR(SUM($L63:$S63)=$D63,SUM($L63:$S63)=0)),"OK","Verificar: "&amp;IF(AND(SUM($H63:$I63)&lt;&gt;$D63,SUM($H63:$I63)&lt;&gt;0),"perfil ","")&amp;IF(AND(SUM($J63:$K63)&lt;&gt;$D63,SUM($J63:$K63)&lt;&gt;0),"gênero ","")&amp;IF(AND(SUM($L63:$S63)&lt;&gt;$D63,SUM($L63:$S63)&lt;&gt;0),"professor","")))))</f>
        <v/>
      </c>
      <c r="U63" s="5" t="n"/>
    </row>
    <row r="64" ht="18" customHeight="1">
      <c r="A64" s="3" t="n">
        <v>46116</v>
      </c>
      <c r="B64" s="4">
        <f>IF($A64="","",CHOOSE(MONTH($A64),"Janeiro","Fevereiro","Março","Abril","Maio","Junho","Julho","Agosto","Setembro","Outubro","Novembro","Dezembro"))</f>
        <v/>
      </c>
      <c r="C64" s="4">
        <f>IF($A64="","",CHOOSE(WEEKDAY($A64),"Domingo","Segunda-feira","Terça-feira","Quarta-feira","Quinta-feira","Sexta-feira","Sábado"))</f>
        <v/>
      </c>
      <c r="D64" s="5" t="n"/>
      <c r="E64" s="6">
        <f>IFERROR(INDEX(Consolidado_Mensal!$B$2:$B$12,MATCH($B64,Consolidado_Mensal!$A$2:$A$12,0)),"")</f>
        <v/>
      </c>
      <c r="F64" s="7">
        <f>IF($E64="","",SUMIFS($D$2:$D64,$B$2:$B64,$B64)/$E64)</f>
        <v/>
      </c>
      <c r="G64" s="6">
        <f>IF($E64="","",MAX(0,$E64-SUMIFS($D$2:$D64,$B$2:$B64,$B64)))</f>
        <v/>
      </c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6">
        <f>IF($D64="","",IF(AND($D64=0,SUM($H64:$S64)=0),"OK",IF(SUM($H64:$S64)=0,"Sem detalhe",IF(AND(OR(SUM($H64:$I64)=$D64,SUM($H64:$I64)=0),OR(SUM($J64:$K64)=$D64,SUM($J64:$K64)=0),OR(SUM($L64:$S64)=$D64,SUM($L64:$S64)=0)),"OK","Verificar: "&amp;IF(AND(SUM($H64:$I64)&lt;&gt;$D64,SUM($H64:$I64)&lt;&gt;0),"perfil ","")&amp;IF(AND(SUM($J64:$K64)&lt;&gt;$D64,SUM($J64:$K64)&lt;&gt;0),"gênero ","")&amp;IF(AND(SUM($L64:$S64)&lt;&gt;$D64,SUM($L64:$S64)&lt;&gt;0),"professor","")))))</f>
        <v/>
      </c>
      <c r="U64" s="5" t="n"/>
    </row>
    <row r="65" ht="18" customHeight="1">
      <c r="A65" s="3" t="n">
        <v>46117</v>
      </c>
      <c r="B65" s="4">
        <f>IF($A65="","",CHOOSE(MONTH($A65),"Janeiro","Fevereiro","Março","Abril","Maio","Junho","Julho","Agosto","Setembro","Outubro","Novembro","Dezembro"))</f>
        <v/>
      </c>
      <c r="C65" s="4">
        <f>IF($A65="","",CHOOSE(WEEKDAY($A65),"Domingo","Segunda-feira","Terça-feira","Quarta-feira","Quinta-feira","Sexta-feira","Sábado"))</f>
        <v/>
      </c>
      <c r="D65" s="5" t="n"/>
      <c r="E65" s="6">
        <f>IFERROR(INDEX(Consolidado_Mensal!$B$2:$B$12,MATCH($B65,Consolidado_Mensal!$A$2:$A$12,0)),"")</f>
        <v/>
      </c>
      <c r="F65" s="7">
        <f>IF($E65="","",SUMIFS($D$2:$D65,$B$2:$B65,$B65)/$E65)</f>
        <v/>
      </c>
      <c r="G65" s="6">
        <f>IF($E65="","",MAX(0,$E65-SUMIFS($D$2:$D65,$B$2:$B65,$B65)))</f>
        <v/>
      </c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6">
        <f>IF($D65="","",IF(AND($D65=0,SUM($H65:$S65)=0),"OK",IF(SUM($H65:$S65)=0,"Sem detalhe",IF(AND(OR(SUM($H65:$I65)=$D65,SUM($H65:$I65)=0),OR(SUM($J65:$K65)=$D65,SUM($J65:$K65)=0),OR(SUM($L65:$S65)=$D65,SUM($L65:$S65)=0)),"OK","Verificar: "&amp;IF(AND(SUM($H65:$I65)&lt;&gt;$D65,SUM($H65:$I65)&lt;&gt;0),"perfil ","")&amp;IF(AND(SUM($J65:$K65)&lt;&gt;$D65,SUM($J65:$K65)&lt;&gt;0),"gênero ","")&amp;IF(AND(SUM($L65:$S65)&lt;&gt;$D65,SUM($L65:$S65)&lt;&gt;0),"professor","")))))</f>
        <v/>
      </c>
      <c r="U65" s="5" t="n"/>
    </row>
    <row r="66" ht="18" customHeight="1">
      <c r="A66" s="3" t="n">
        <v>46118</v>
      </c>
      <c r="B66" s="4">
        <f>IF($A66="","",CHOOSE(MONTH($A66),"Janeiro","Fevereiro","Março","Abril","Maio","Junho","Julho","Agosto","Setembro","Outubro","Novembro","Dezembro"))</f>
        <v/>
      </c>
      <c r="C66" s="4">
        <f>IF($A66="","",CHOOSE(WEEKDAY($A66),"Domingo","Segunda-feira","Terça-feira","Quarta-feira","Quinta-feira","Sexta-feira","Sábado"))</f>
        <v/>
      </c>
      <c r="D66" s="5" t="n">
        <v>1</v>
      </c>
      <c r="E66" s="6">
        <f>IFERROR(INDEX(Consolidado_Mensal!$B$2:$B$12,MATCH($B66,Consolidado_Mensal!$A$2:$A$12,0)),"")</f>
        <v/>
      </c>
      <c r="F66" s="7">
        <f>IF($E66="","",SUMIFS($D$2:$D66,$B$2:$B66,$B66)/$E66)</f>
        <v/>
      </c>
      <c r="G66" s="6">
        <f>IF($E66="","",MAX(0,$E66-SUMIFS($D$2:$D66,$B$2:$B66,$B66)))</f>
        <v/>
      </c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6">
        <f>IF($D66="","",IF(AND($D66=0,SUM($H66:$S66)=0),"OK",IF(SUM($H66:$S66)=0,"Sem detalhe",IF(AND(OR(SUM($H66:$I66)=$D66,SUM($H66:$I66)=0),OR(SUM($J66:$K66)=$D66,SUM($J66:$K66)=0),OR(SUM($L66:$S66)=$D66,SUM($L66:$S66)=0)),"OK","Verificar: "&amp;IF(AND(SUM($H66:$I66)&lt;&gt;$D66,SUM($H66:$I66)&lt;&gt;0),"perfil ","")&amp;IF(AND(SUM($J66:$K66)&lt;&gt;$D66,SUM($J66:$K66)&lt;&gt;0),"gênero ","")&amp;IF(AND(SUM($L66:$S66)&lt;&gt;$D66,SUM($L66:$S66)&lt;&gt;0),"professor","")))))</f>
        <v/>
      </c>
      <c r="U66" s="5" t="n"/>
    </row>
    <row r="67" ht="18" customHeight="1">
      <c r="A67" s="3" t="n">
        <v>46119</v>
      </c>
      <c r="B67" s="4">
        <f>IF($A67="","",CHOOSE(MONTH($A67),"Janeiro","Fevereiro","Março","Abril","Maio","Junho","Julho","Agosto","Setembro","Outubro","Novembro","Dezembro"))</f>
        <v/>
      </c>
      <c r="C67" s="4">
        <f>IF($A67="","",CHOOSE(WEEKDAY($A67),"Domingo","Segunda-feira","Terça-feira","Quarta-feira","Quinta-feira","Sexta-feira","Sábado"))</f>
        <v/>
      </c>
      <c r="D67" s="5" t="n">
        <v>7</v>
      </c>
      <c r="E67" s="6">
        <f>IFERROR(INDEX(Consolidado_Mensal!$B$2:$B$12,MATCH($B67,Consolidado_Mensal!$A$2:$A$12,0)),"")</f>
        <v/>
      </c>
      <c r="F67" s="7">
        <f>IF($E67="","",SUMIFS($D$2:$D67,$B$2:$B67,$B67)/$E67)</f>
        <v/>
      </c>
      <c r="G67" s="6">
        <f>IF($E67="","",MAX(0,$E67-SUMIFS($D$2:$D67,$B$2:$B67,$B67)))</f>
        <v/>
      </c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6">
        <f>IF($D67="","",IF(AND($D67=0,SUM($H67:$S67)=0),"OK",IF(SUM($H67:$S67)=0,"Sem detalhe",IF(AND(OR(SUM($H67:$I67)=$D67,SUM($H67:$I67)=0),OR(SUM($J67:$K67)=$D67,SUM($J67:$K67)=0),OR(SUM($L67:$S67)=$D67,SUM($L67:$S67)=0)),"OK","Verificar: "&amp;IF(AND(SUM($H67:$I67)&lt;&gt;$D67,SUM($H67:$I67)&lt;&gt;0),"perfil ","")&amp;IF(AND(SUM($J67:$K67)&lt;&gt;$D67,SUM($J67:$K67)&lt;&gt;0),"gênero ","")&amp;IF(AND(SUM($L67:$S67)&lt;&gt;$D67,SUM($L67:$S67)&lt;&gt;0),"professor","")))))</f>
        <v/>
      </c>
      <c r="U67" s="5" t="n"/>
    </row>
    <row r="68" ht="18" customHeight="1">
      <c r="A68" s="3" t="n">
        <v>46120</v>
      </c>
      <c r="B68" s="4">
        <f>IF($A68="","",CHOOSE(MONTH($A68),"Janeiro","Fevereiro","Março","Abril","Maio","Junho","Julho","Agosto","Setembro","Outubro","Novembro","Dezembro"))</f>
        <v/>
      </c>
      <c r="C68" s="4">
        <f>IF($A68="","",CHOOSE(WEEKDAY($A68),"Domingo","Segunda-feira","Terça-feira","Quarta-feira","Quinta-feira","Sexta-feira","Sábado"))</f>
        <v/>
      </c>
      <c r="D68" s="5" t="n">
        <v>4</v>
      </c>
      <c r="E68" s="6">
        <f>IFERROR(INDEX(Consolidado_Mensal!$B$2:$B$12,MATCH($B68,Consolidado_Mensal!$A$2:$A$12,0)),"")</f>
        <v/>
      </c>
      <c r="F68" s="7">
        <f>IF($E68="","",SUMIFS($D$2:$D68,$B$2:$B68,$B68)/$E68)</f>
        <v/>
      </c>
      <c r="G68" s="6">
        <f>IF($E68="","",MAX(0,$E68-SUMIFS($D$2:$D68,$B$2:$B68,$B68)))</f>
        <v/>
      </c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6">
        <f>IF($D68="","",IF(AND($D68=0,SUM($H68:$S68)=0),"OK",IF(SUM($H68:$S68)=0,"Sem detalhe",IF(AND(OR(SUM($H68:$I68)=$D68,SUM($H68:$I68)=0),OR(SUM($J68:$K68)=$D68,SUM($J68:$K68)=0),OR(SUM($L68:$S68)=$D68,SUM($L68:$S68)=0)),"OK","Verificar: "&amp;IF(AND(SUM($H68:$I68)&lt;&gt;$D68,SUM($H68:$I68)&lt;&gt;0),"perfil ","")&amp;IF(AND(SUM($J68:$K68)&lt;&gt;$D68,SUM($J68:$K68)&lt;&gt;0),"gênero ","")&amp;IF(AND(SUM($L68:$S68)&lt;&gt;$D68,SUM($L68:$S68)&lt;&gt;0),"professor","")))))</f>
        <v/>
      </c>
      <c r="U68" s="5" t="n"/>
    </row>
    <row r="69" ht="18" customHeight="1">
      <c r="A69" s="3" t="n">
        <v>46121</v>
      </c>
      <c r="B69" s="4">
        <f>IF($A69="","",CHOOSE(MONTH($A69),"Janeiro","Fevereiro","Março","Abril","Maio","Junho","Julho","Agosto","Setembro","Outubro","Novembro","Dezembro"))</f>
        <v/>
      </c>
      <c r="C69" s="4">
        <f>IF($A69="","",CHOOSE(WEEKDAY($A69),"Domingo","Segunda-feira","Terça-feira","Quarta-feira","Quinta-feira","Sexta-feira","Sábado"))</f>
        <v/>
      </c>
      <c r="D69" s="5" t="n">
        <v>4</v>
      </c>
      <c r="E69" s="6">
        <f>IFERROR(INDEX(Consolidado_Mensal!$B$2:$B$12,MATCH($B69,Consolidado_Mensal!$A$2:$A$12,0)),"")</f>
        <v/>
      </c>
      <c r="F69" s="7">
        <f>IF($E69="","",SUMIFS($D$2:$D69,$B$2:$B69,$B69)/$E69)</f>
        <v/>
      </c>
      <c r="G69" s="6">
        <f>IF($E69="","",MAX(0,$E69-SUMIFS($D$2:$D69,$B$2:$B69,$B69)))</f>
        <v/>
      </c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6">
        <f>IF($D69="","",IF(AND($D69=0,SUM($H69:$S69)=0),"OK",IF(SUM($H69:$S69)=0,"Sem detalhe",IF(AND(OR(SUM($H69:$I69)=$D69,SUM($H69:$I69)=0),OR(SUM($J69:$K69)=$D69,SUM($J69:$K69)=0),OR(SUM($L69:$S69)=$D69,SUM($L69:$S69)=0)),"OK","Verificar: "&amp;IF(AND(SUM($H69:$I69)&lt;&gt;$D69,SUM($H69:$I69)&lt;&gt;0),"perfil ","")&amp;IF(AND(SUM($J69:$K69)&lt;&gt;$D69,SUM($J69:$K69)&lt;&gt;0),"gênero ","")&amp;IF(AND(SUM($L69:$S69)&lt;&gt;$D69,SUM($L69:$S69)&lt;&gt;0),"professor","")))))</f>
        <v/>
      </c>
      <c r="U69" s="5" t="n"/>
    </row>
    <row r="70" ht="18" customHeight="1">
      <c r="A70" s="3" t="n">
        <v>46122</v>
      </c>
      <c r="B70" s="4">
        <f>IF($A70="","",CHOOSE(MONTH($A70),"Janeiro","Fevereiro","Março","Abril","Maio","Junho","Julho","Agosto","Setembro","Outubro","Novembro","Dezembro"))</f>
        <v/>
      </c>
      <c r="C70" s="4">
        <f>IF($A70="","",CHOOSE(WEEKDAY($A70),"Domingo","Segunda-feira","Terça-feira","Quarta-feira","Quinta-feira","Sexta-feira","Sábado"))</f>
        <v/>
      </c>
      <c r="D70" s="5" t="n"/>
      <c r="E70" s="6">
        <f>IFERROR(INDEX(Consolidado_Mensal!$B$2:$B$12,MATCH($B70,Consolidado_Mensal!$A$2:$A$12,0)),"")</f>
        <v/>
      </c>
      <c r="F70" s="7">
        <f>IF($E70="","",SUMIFS($D$2:$D70,$B$2:$B70,$B70)/$E70)</f>
        <v/>
      </c>
      <c r="G70" s="6">
        <f>IF($E70="","",MAX(0,$E70-SUMIFS($D$2:$D70,$B$2:$B70,$B70)))</f>
        <v/>
      </c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6">
        <f>IF($D70="","",IF(AND($D70=0,SUM($H70:$S70)=0),"OK",IF(SUM($H70:$S70)=0,"Sem detalhe",IF(AND(OR(SUM($H70:$I70)=$D70,SUM($H70:$I70)=0),OR(SUM($J70:$K70)=$D70,SUM($J70:$K70)=0),OR(SUM($L70:$S70)=$D70,SUM($L70:$S70)=0)),"OK","Verificar: "&amp;IF(AND(SUM($H70:$I70)&lt;&gt;$D70,SUM($H70:$I70)&lt;&gt;0),"perfil ","")&amp;IF(AND(SUM($J70:$K70)&lt;&gt;$D70,SUM($J70:$K70)&lt;&gt;0),"gênero ","")&amp;IF(AND(SUM($L70:$S70)&lt;&gt;$D70,SUM($L70:$S70)&lt;&gt;0),"professor","")))))</f>
        <v/>
      </c>
      <c r="U70" s="5" t="n"/>
    </row>
    <row r="71" ht="18" customHeight="1">
      <c r="A71" s="3" t="n">
        <v>46123</v>
      </c>
      <c r="B71" s="4">
        <f>IF($A71="","",CHOOSE(MONTH($A71),"Janeiro","Fevereiro","Março","Abril","Maio","Junho","Julho","Agosto","Setembro","Outubro","Novembro","Dezembro"))</f>
        <v/>
      </c>
      <c r="C71" s="4">
        <f>IF($A71="","",CHOOSE(WEEKDAY($A71),"Domingo","Segunda-feira","Terça-feira","Quarta-feira","Quinta-feira","Sexta-feira","Sábado"))</f>
        <v/>
      </c>
      <c r="D71" s="5" t="n"/>
      <c r="E71" s="6">
        <f>IFERROR(INDEX(Consolidado_Mensal!$B$2:$B$12,MATCH($B71,Consolidado_Mensal!$A$2:$A$12,0)),"")</f>
        <v/>
      </c>
      <c r="F71" s="7">
        <f>IF($E71="","",SUMIFS($D$2:$D71,$B$2:$B71,$B71)/$E71)</f>
        <v/>
      </c>
      <c r="G71" s="6">
        <f>IF($E71="","",MAX(0,$E71-SUMIFS($D$2:$D71,$B$2:$B71,$B71)))</f>
        <v/>
      </c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6">
        <f>IF($D71="","",IF(AND($D71=0,SUM($H71:$S71)=0),"OK",IF(SUM($H71:$S71)=0,"Sem detalhe",IF(AND(OR(SUM($H71:$I71)=$D71,SUM($H71:$I71)=0),OR(SUM($J71:$K71)=$D71,SUM($J71:$K71)=0),OR(SUM($L71:$S71)=$D71,SUM($L71:$S71)=0)),"OK","Verificar: "&amp;IF(AND(SUM($H71:$I71)&lt;&gt;$D71,SUM($H71:$I71)&lt;&gt;0),"perfil ","")&amp;IF(AND(SUM($J71:$K71)&lt;&gt;$D71,SUM($J71:$K71)&lt;&gt;0),"gênero ","")&amp;IF(AND(SUM($L71:$S71)&lt;&gt;$D71,SUM($L71:$S71)&lt;&gt;0),"professor","")))))</f>
        <v/>
      </c>
      <c r="U71" s="5" t="n"/>
    </row>
    <row r="72" ht="18" customHeight="1">
      <c r="A72" s="3" t="n">
        <v>46124</v>
      </c>
      <c r="B72" s="4">
        <f>IF($A72="","",CHOOSE(MONTH($A72),"Janeiro","Fevereiro","Março","Abril","Maio","Junho","Julho","Agosto","Setembro","Outubro","Novembro","Dezembro"))</f>
        <v/>
      </c>
      <c r="C72" s="4">
        <f>IF($A72="","",CHOOSE(WEEKDAY($A72),"Domingo","Segunda-feira","Terça-feira","Quarta-feira","Quinta-feira","Sexta-feira","Sábado"))</f>
        <v/>
      </c>
      <c r="D72" s="5" t="n"/>
      <c r="E72" s="6">
        <f>IFERROR(INDEX(Consolidado_Mensal!$B$2:$B$12,MATCH($B72,Consolidado_Mensal!$A$2:$A$12,0)),"")</f>
        <v/>
      </c>
      <c r="F72" s="7">
        <f>IF($E72="","",SUMIFS($D$2:$D72,$B$2:$B72,$B72)/$E72)</f>
        <v/>
      </c>
      <c r="G72" s="6">
        <f>IF($E72="","",MAX(0,$E72-SUMIFS($D$2:$D72,$B$2:$B72,$B72)))</f>
        <v/>
      </c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6">
        <f>IF($D72="","",IF(AND($D72=0,SUM($H72:$S72)=0),"OK",IF(SUM($H72:$S72)=0,"Sem detalhe",IF(AND(OR(SUM($H72:$I72)=$D72,SUM($H72:$I72)=0),OR(SUM($J72:$K72)=$D72,SUM($J72:$K72)=0),OR(SUM($L72:$S72)=$D72,SUM($L72:$S72)=0)),"OK","Verificar: "&amp;IF(AND(SUM($H72:$I72)&lt;&gt;$D72,SUM($H72:$I72)&lt;&gt;0),"perfil ","")&amp;IF(AND(SUM($J72:$K72)&lt;&gt;$D72,SUM($J72:$K72)&lt;&gt;0),"gênero ","")&amp;IF(AND(SUM($L72:$S72)&lt;&gt;$D72,SUM($L72:$S72)&lt;&gt;0),"professor","")))))</f>
        <v/>
      </c>
      <c r="U72" s="5" t="n"/>
    </row>
    <row r="73" ht="18" customHeight="1">
      <c r="A73" s="3" t="n">
        <v>46125</v>
      </c>
      <c r="B73" s="4">
        <f>IF($A73="","",CHOOSE(MONTH($A73),"Janeiro","Fevereiro","Março","Abril","Maio","Junho","Julho","Agosto","Setembro","Outubro","Novembro","Dezembro"))</f>
        <v/>
      </c>
      <c r="C73" s="4">
        <f>IF($A73="","",CHOOSE(WEEKDAY($A73),"Domingo","Segunda-feira","Terça-feira","Quarta-feira","Quinta-feira","Sexta-feira","Sábado"))</f>
        <v/>
      </c>
      <c r="D73" s="5" t="n">
        <v>4</v>
      </c>
      <c r="E73" s="6">
        <f>IFERROR(INDEX(Consolidado_Mensal!$B$2:$B$12,MATCH($B73,Consolidado_Mensal!$A$2:$A$12,0)),"")</f>
        <v/>
      </c>
      <c r="F73" s="7">
        <f>IF($E73="","",SUMIFS($D$2:$D73,$B$2:$B73,$B73)/$E73)</f>
        <v/>
      </c>
      <c r="G73" s="6">
        <f>IF($E73="","",MAX(0,$E73-SUMIFS($D$2:$D73,$B$2:$B73,$B73)))</f>
        <v/>
      </c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6">
        <f>IF($D73="","",IF(AND($D73=0,SUM($H73:$S73)=0),"OK",IF(SUM($H73:$S73)=0,"Sem detalhe",IF(AND(OR(SUM($H73:$I73)=$D73,SUM($H73:$I73)=0),OR(SUM($J73:$K73)=$D73,SUM($J73:$K73)=0),OR(SUM($L73:$S73)=$D73,SUM($L73:$S73)=0)),"OK","Verificar: "&amp;IF(AND(SUM($H73:$I73)&lt;&gt;$D73,SUM($H73:$I73)&lt;&gt;0),"perfil ","")&amp;IF(AND(SUM($J73:$K73)&lt;&gt;$D73,SUM($J73:$K73)&lt;&gt;0),"gênero ","")&amp;IF(AND(SUM($L73:$S73)&lt;&gt;$D73,SUM($L73:$S73)&lt;&gt;0),"professor","")))))</f>
        <v/>
      </c>
      <c r="U73" s="5" t="n"/>
    </row>
    <row r="74" ht="18" customHeight="1">
      <c r="A74" s="3" t="n">
        <v>46126</v>
      </c>
      <c r="B74" s="4">
        <f>IF($A74="","",CHOOSE(MONTH($A74),"Janeiro","Fevereiro","Março","Abril","Maio","Junho","Julho","Agosto","Setembro","Outubro","Novembro","Dezembro"))</f>
        <v/>
      </c>
      <c r="C74" s="4">
        <f>IF($A74="","",CHOOSE(WEEKDAY($A74),"Domingo","Segunda-feira","Terça-feira","Quarta-feira","Quinta-feira","Sexta-feira","Sábado"))</f>
        <v/>
      </c>
      <c r="D74" s="5" t="n">
        <v>2</v>
      </c>
      <c r="E74" s="6">
        <f>IFERROR(INDEX(Consolidado_Mensal!$B$2:$B$12,MATCH($B74,Consolidado_Mensal!$A$2:$A$12,0)),"")</f>
        <v/>
      </c>
      <c r="F74" s="7">
        <f>IF($E74="","",SUMIFS($D$2:$D74,$B$2:$B74,$B74)/$E74)</f>
        <v/>
      </c>
      <c r="G74" s="6">
        <f>IF($E74="","",MAX(0,$E74-SUMIFS($D$2:$D74,$B$2:$B74,$B74)))</f>
        <v/>
      </c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6">
        <f>IF($D74="","",IF(AND($D74=0,SUM($H74:$S74)=0),"OK",IF(SUM($H74:$S74)=0,"Sem detalhe",IF(AND(OR(SUM($H74:$I74)=$D74,SUM($H74:$I74)=0),OR(SUM($J74:$K74)=$D74,SUM($J74:$K74)=0),OR(SUM($L74:$S74)=$D74,SUM($L74:$S74)=0)),"OK","Verificar: "&amp;IF(AND(SUM($H74:$I74)&lt;&gt;$D74,SUM($H74:$I74)&lt;&gt;0),"perfil ","")&amp;IF(AND(SUM($J74:$K74)&lt;&gt;$D74,SUM($J74:$K74)&lt;&gt;0),"gênero ","")&amp;IF(AND(SUM($L74:$S74)&lt;&gt;$D74,SUM($L74:$S74)&lt;&gt;0),"professor","")))))</f>
        <v/>
      </c>
      <c r="U74" s="5" t="n"/>
    </row>
    <row r="75" ht="18" customHeight="1">
      <c r="A75" s="3" t="n">
        <v>46127</v>
      </c>
      <c r="B75" s="4">
        <f>IF($A75="","",CHOOSE(MONTH($A75),"Janeiro","Fevereiro","Março","Abril","Maio","Junho","Julho","Agosto","Setembro","Outubro","Novembro","Dezembro"))</f>
        <v/>
      </c>
      <c r="C75" s="4">
        <f>IF($A75="","",CHOOSE(WEEKDAY($A75),"Domingo","Segunda-feira","Terça-feira","Quarta-feira","Quinta-feira","Sexta-feira","Sábado"))</f>
        <v/>
      </c>
      <c r="D75" s="5" t="n">
        <v>4</v>
      </c>
      <c r="E75" s="6">
        <f>IFERROR(INDEX(Consolidado_Mensal!$B$2:$B$12,MATCH($B75,Consolidado_Mensal!$A$2:$A$12,0)),"")</f>
        <v/>
      </c>
      <c r="F75" s="7">
        <f>IF($E75="","",SUMIFS($D$2:$D75,$B$2:$B75,$B75)/$E75)</f>
        <v/>
      </c>
      <c r="G75" s="6">
        <f>IF($E75="","",MAX(0,$E75-SUMIFS($D$2:$D75,$B$2:$B75,$B75)))</f>
        <v/>
      </c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6">
        <f>IF($D75="","",IF(AND($D75=0,SUM($H75:$S75)=0),"OK",IF(SUM($H75:$S75)=0,"Sem detalhe",IF(AND(OR(SUM($H75:$I75)=$D75,SUM($H75:$I75)=0),OR(SUM($J75:$K75)=$D75,SUM($J75:$K75)=0),OR(SUM($L75:$S75)=$D75,SUM($L75:$S75)=0)),"OK","Verificar: "&amp;IF(AND(SUM($H75:$I75)&lt;&gt;$D75,SUM($H75:$I75)&lt;&gt;0),"perfil ","")&amp;IF(AND(SUM($J75:$K75)&lt;&gt;$D75,SUM($J75:$K75)&lt;&gt;0),"gênero ","")&amp;IF(AND(SUM($L75:$S75)&lt;&gt;$D75,SUM($L75:$S75)&lt;&gt;0),"professor","")))))</f>
        <v/>
      </c>
      <c r="U75" s="5" t="n"/>
    </row>
    <row r="76" ht="18" customHeight="1">
      <c r="A76" s="3" t="n">
        <v>46128</v>
      </c>
      <c r="B76" s="4">
        <f>IF($A76="","",CHOOSE(MONTH($A76),"Janeiro","Fevereiro","Março","Abril","Maio","Junho","Julho","Agosto","Setembro","Outubro","Novembro","Dezembro"))</f>
        <v/>
      </c>
      <c r="C76" s="4">
        <f>IF($A76="","",CHOOSE(WEEKDAY($A76),"Domingo","Segunda-feira","Terça-feira","Quarta-feira","Quinta-feira","Sexta-feira","Sábado"))</f>
        <v/>
      </c>
      <c r="D76" s="5" t="n">
        <v>3</v>
      </c>
      <c r="E76" s="6">
        <f>IFERROR(INDEX(Consolidado_Mensal!$B$2:$B$12,MATCH($B76,Consolidado_Mensal!$A$2:$A$12,0)),"")</f>
        <v/>
      </c>
      <c r="F76" s="7">
        <f>IF($E76="","",SUMIFS($D$2:$D76,$B$2:$B76,$B76)/$E76)</f>
        <v/>
      </c>
      <c r="G76" s="6">
        <f>IF($E76="","",MAX(0,$E76-SUMIFS($D$2:$D76,$B$2:$B76,$B76)))</f>
        <v/>
      </c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6">
        <f>IF($D76="","",IF(AND($D76=0,SUM($H76:$S76)=0),"OK",IF(SUM($H76:$S76)=0,"Sem detalhe",IF(AND(OR(SUM($H76:$I76)=$D76,SUM($H76:$I76)=0),OR(SUM($J76:$K76)=$D76,SUM($J76:$K76)=0),OR(SUM($L76:$S76)=$D76,SUM($L76:$S76)=0)),"OK","Verificar: "&amp;IF(AND(SUM($H76:$I76)&lt;&gt;$D76,SUM($H76:$I76)&lt;&gt;0),"perfil ","")&amp;IF(AND(SUM($J76:$K76)&lt;&gt;$D76,SUM($J76:$K76)&lt;&gt;0),"gênero ","")&amp;IF(AND(SUM($L76:$S76)&lt;&gt;$D76,SUM($L76:$S76)&lt;&gt;0),"professor","")))))</f>
        <v/>
      </c>
      <c r="U76" s="5" t="n"/>
    </row>
    <row r="77" ht="18" customHeight="1">
      <c r="A77" s="3" t="n">
        <v>46129</v>
      </c>
      <c r="B77" s="4">
        <f>IF($A77="","",CHOOSE(MONTH($A77),"Janeiro","Fevereiro","Março","Abril","Maio","Junho","Julho","Agosto","Setembro","Outubro","Novembro","Dezembro"))</f>
        <v/>
      </c>
      <c r="C77" s="4">
        <f>IF($A77="","",CHOOSE(WEEKDAY($A77),"Domingo","Segunda-feira","Terça-feira","Quarta-feira","Quinta-feira","Sexta-feira","Sábado"))</f>
        <v/>
      </c>
      <c r="D77" s="5" t="n">
        <v>1</v>
      </c>
      <c r="E77" s="6">
        <f>IFERROR(INDEX(Consolidado_Mensal!$B$2:$B$12,MATCH($B77,Consolidado_Mensal!$A$2:$A$12,0)),"")</f>
        <v/>
      </c>
      <c r="F77" s="7">
        <f>IF($E77="","",SUMIFS($D$2:$D77,$B$2:$B77,$B77)/$E77)</f>
        <v/>
      </c>
      <c r="G77" s="6">
        <f>IF($E77="","",MAX(0,$E77-SUMIFS($D$2:$D77,$B$2:$B77,$B77)))</f>
        <v/>
      </c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6">
        <f>IF($D77="","",IF(AND($D77=0,SUM($H77:$S77)=0),"OK",IF(SUM($H77:$S77)=0,"Sem detalhe",IF(AND(OR(SUM($H77:$I77)=$D77,SUM($H77:$I77)=0),OR(SUM($J77:$K77)=$D77,SUM($J77:$K77)=0),OR(SUM($L77:$S77)=$D77,SUM($L77:$S77)=0)),"OK","Verificar: "&amp;IF(AND(SUM($H77:$I77)&lt;&gt;$D77,SUM($H77:$I77)&lt;&gt;0),"perfil ","")&amp;IF(AND(SUM($J77:$K77)&lt;&gt;$D77,SUM($J77:$K77)&lt;&gt;0),"gênero ","")&amp;IF(AND(SUM($L77:$S77)&lt;&gt;$D77,SUM($L77:$S77)&lt;&gt;0),"professor","")))))</f>
        <v/>
      </c>
      <c r="U77" s="5" t="n"/>
    </row>
    <row r="78" ht="18" customHeight="1">
      <c r="A78" s="3" t="n">
        <v>46130</v>
      </c>
      <c r="B78" s="4">
        <f>IF($A78="","",CHOOSE(MONTH($A78),"Janeiro","Fevereiro","Março","Abril","Maio","Junho","Julho","Agosto","Setembro","Outubro","Novembro","Dezembro"))</f>
        <v/>
      </c>
      <c r="C78" s="4">
        <f>IF($A78="","",CHOOSE(WEEKDAY($A78),"Domingo","Segunda-feira","Terça-feira","Quarta-feira","Quinta-feira","Sexta-feira","Sábado"))</f>
        <v/>
      </c>
      <c r="D78" s="5" t="n"/>
      <c r="E78" s="6">
        <f>IFERROR(INDEX(Consolidado_Mensal!$B$2:$B$12,MATCH($B78,Consolidado_Mensal!$A$2:$A$12,0)),"")</f>
        <v/>
      </c>
      <c r="F78" s="7">
        <f>IF($E78="","",SUMIFS($D$2:$D78,$B$2:$B78,$B78)/$E78)</f>
        <v/>
      </c>
      <c r="G78" s="6">
        <f>IF($E78="","",MAX(0,$E78-SUMIFS($D$2:$D78,$B$2:$B78,$B78)))</f>
        <v/>
      </c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6">
        <f>IF($D78="","",IF(AND($D78=0,SUM($H78:$S78)=0),"OK",IF(SUM($H78:$S78)=0,"Sem detalhe",IF(AND(OR(SUM($H78:$I78)=$D78,SUM($H78:$I78)=0),OR(SUM($J78:$K78)=$D78,SUM($J78:$K78)=0),OR(SUM($L78:$S78)=$D78,SUM($L78:$S78)=0)),"OK","Verificar: "&amp;IF(AND(SUM($H78:$I78)&lt;&gt;$D78,SUM($H78:$I78)&lt;&gt;0),"perfil ","")&amp;IF(AND(SUM($J78:$K78)&lt;&gt;$D78,SUM($J78:$K78)&lt;&gt;0),"gênero ","")&amp;IF(AND(SUM($L78:$S78)&lt;&gt;$D78,SUM($L78:$S78)&lt;&gt;0),"professor","")))))</f>
        <v/>
      </c>
      <c r="U78" s="5" t="n"/>
    </row>
    <row r="79" ht="18" customHeight="1">
      <c r="A79" s="3" t="n">
        <v>46131</v>
      </c>
      <c r="B79" s="4">
        <f>IF($A79="","",CHOOSE(MONTH($A79),"Janeiro","Fevereiro","Março","Abril","Maio","Junho","Julho","Agosto","Setembro","Outubro","Novembro","Dezembro"))</f>
        <v/>
      </c>
      <c r="C79" s="4">
        <f>IF($A79="","",CHOOSE(WEEKDAY($A79),"Domingo","Segunda-feira","Terça-feira","Quarta-feira","Quinta-feira","Sexta-feira","Sábado"))</f>
        <v/>
      </c>
      <c r="D79" s="5" t="n"/>
      <c r="E79" s="6">
        <f>IFERROR(INDEX(Consolidado_Mensal!$B$2:$B$12,MATCH($B79,Consolidado_Mensal!$A$2:$A$12,0)),"")</f>
        <v/>
      </c>
      <c r="F79" s="7">
        <f>IF($E79="","",SUMIFS($D$2:$D79,$B$2:$B79,$B79)/$E79)</f>
        <v/>
      </c>
      <c r="G79" s="6">
        <f>IF($E79="","",MAX(0,$E79-SUMIFS($D$2:$D79,$B$2:$B79,$B79)))</f>
        <v/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6">
        <f>IF($D79="","",IF(AND($D79=0,SUM($H79:$S79)=0),"OK",IF(SUM($H79:$S79)=0,"Sem detalhe",IF(AND(OR(SUM($H79:$I79)=$D79,SUM($H79:$I79)=0),OR(SUM($J79:$K79)=$D79,SUM($J79:$K79)=0),OR(SUM($L79:$S79)=$D79,SUM($L79:$S79)=0)),"OK","Verificar: "&amp;IF(AND(SUM($H79:$I79)&lt;&gt;$D79,SUM($H79:$I79)&lt;&gt;0),"perfil ","")&amp;IF(AND(SUM($J79:$K79)&lt;&gt;$D79,SUM($J79:$K79)&lt;&gt;0),"gênero ","")&amp;IF(AND(SUM($L79:$S79)&lt;&gt;$D79,SUM($L79:$S79)&lt;&gt;0),"professor","")))))</f>
        <v/>
      </c>
      <c r="U79" s="5" t="n"/>
    </row>
    <row r="80" ht="18" customHeight="1">
      <c r="A80" s="3" t="n">
        <v>46132</v>
      </c>
      <c r="B80" s="4">
        <f>IF($A80="","",CHOOSE(MONTH($A80),"Janeiro","Fevereiro","Março","Abril","Maio","Junho","Julho","Agosto","Setembro","Outubro","Novembro","Dezembro"))</f>
        <v/>
      </c>
      <c r="C80" s="4">
        <f>IF($A80="","",CHOOSE(WEEKDAY($A80),"Domingo","Segunda-feira","Terça-feira","Quarta-feira","Quinta-feira","Sexta-feira","Sábado"))</f>
        <v/>
      </c>
      <c r="D80" s="5" t="n"/>
      <c r="E80" s="6">
        <f>IFERROR(INDEX(Consolidado_Mensal!$B$2:$B$12,MATCH($B80,Consolidado_Mensal!$A$2:$A$12,0)),"")</f>
        <v/>
      </c>
      <c r="F80" s="7">
        <f>IF($E80="","",SUMIFS($D$2:$D80,$B$2:$B80,$B80)/$E80)</f>
        <v/>
      </c>
      <c r="G80" s="6">
        <f>IF($E80="","",MAX(0,$E80-SUMIFS($D$2:$D80,$B$2:$B80,$B80)))</f>
        <v/>
      </c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6">
        <f>IF($D80="","",IF(AND($D80=0,SUM($H80:$S80)=0),"OK",IF(SUM($H80:$S80)=0,"Sem detalhe",IF(AND(OR(SUM($H80:$I80)=$D80,SUM($H80:$I80)=0),OR(SUM($J80:$K80)=$D80,SUM($J80:$K80)=0),OR(SUM($L80:$S80)=$D80,SUM($L80:$S80)=0)),"OK","Verificar: "&amp;IF(AND(SUM($H80:$I80)&lt;&gt;$D80,SUM($H80:$I80)&lt;&gt;0),"perfil ","")&amp;IF(AND(SUM($J80:$K80)&lt;&gt;$D80,SUM($J80:$K80)&lt;&gt;0),"gênero ","")&amp;IF(AND(SUM($L80:$S80)&lt;&gt;$D80,SUM($L80:$S80)&lt;&gt;0),"professor","")))))</f>
        <v/>
      </c>
      <c r="U80" s="5" t="n"/>
    </row>
    <row r="81" ht="18" customHeight="1">
      <c r="A81" s="3" t="n">
        <v>46133</v>
      </c>
      <c r="B81" s="4">
        <f>IF($A81="","",CHOOSE(MONTH($A81),"Janeiro","Fevereiro","Março","Abril","Maio","Junho","Julho","Agosto","Setembro","Outubro","Novembro","Dezembro"))</f>
        <v/>
      </c>
      <c r="C81" s="4">
        <f>IF($A81="","",CHOOSE(WEEKDAY($A81),"Domingo","Segunda-feira","Terça-feira","Quarta-feira","Quinta-feira","Sexta-feira","Sábado"))</f>
        <v/>
      </c>
      <c r="D81" s="5" t="n"/>
      <c r="E81" s="6">
        <f>IFERROR(INDEX(Consolidado_Mensal!$B$2:$B$12,MATCH($B81,Consolidado_Mensal!$A$2:$A$12,0)),"")</f>
        <v/>
      </c>
      <c r="F81" s="7">
        <f>IF($E81="","",SUMIFS($D$2:$D81,$B$2:$B81,$B81)/$E81)</f>
        <v/>
      </c>
      <c r="G81" s="6">
        <f>IF($E81="","",MAX(0,$E81-SUMIFS($D$2:$D81,$B$2:$B81,$B81)))</f>
        <v/>
      </c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6">
        <f>IF($D81="","",IF(AND($D81=0,SUM($H81:$S81)=0),"OK",IF(SUM($H81:$S81)=0,"Sem detalhe",IF(AND(OR(SUM($H81:$I81)=$D81,SUM($H81:$I81)=0),OR(SUM($J81:$K81)=$D81,SUM($J81:$K81)=0),OR(SUM($L81:$S81)=$D81,SUM($L81:$S81)=0)),"OK","Verificar: "&amp;IF(AND(SUM($H81:$I81)&lt;&gt;$D81,SUM($H81:$I81)&lt;&gt;0),"perfil ","")&amp;IF(AND(SUM($J81:$K81)&lt;&gt;$D81,SUM($J81:$K81)&lt;&gt;0),"gênero ","")&amp;IF(AND(SUM($L81:$S81)&lt;&gt;$D81,SUM($L81:$S81)&lt;&gt;0),"professor","")))))</f>
        <v/>
      </c>
      <c r="U81" s="5" t="n"/>
    </row>
    <row r="82" ht="18" customHeight="1">
      <c r="A82" s="3" t="n">
        <v>46134</v>
      </c>
      <c r="B82" s="4">
        <f>IF($A82="","",CHOOSE(MONTH($A82),"Janeiro","Fevereiro","Março","Abril","Maio","Junho","Julho","Agosto","Setembro","Outubro","Novembro","Dezembro"))</f>
        <v/>
      </c>
      <c r="C82" s="4">
        <f>IF($A82="","",CHOOSE(WEEKDAY($A82),"Domingo","Segunda-feira","Terça-feira","Quarta-feira","Quinta-feira","Sexta-feira","Sábado"))</f>
        <v/>
      </c>
      <c r="D82" s="5" t="n">
        <v>2</v>
      </c>
      <c r="E82" s="6">
        <f>IFERROR(INDEX(Consolidado_Mensal!$B$2:$B$12,MATCH($B82,Consolidado_Mensal!$A$2:$A$12,0)),"")</f>
        <v/>
      </c>
      <c r="F82" s="7">
        <f>IF($E82="","",SUMIFS($D$2:$D82,$B$2:$B82,$B82)/$E82)</f>
        <v/>
      </c>
      <c r="G82" s="6">
        <f>IF($E82="","",MAX(0,$E82-SUMIFS($D$2:$D82,$B$2:$B82,$B82)))</f>
        <v/>
      </c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6">
        <f>IF($D82="","",IF(AND($D82=0,SUM($H82:$S82)=0),"OK",IF(SUM($H82:$S82)=0,"Sem detalhe",IF(AND(OR(SUM($H82:$I82)=$D82,SUM($H82:$I82)=0),OR(SUM($J82:$K82)=$D82,SUM($J82:$K82)=0),OR(SUM($L82:$S82)=$D82,SUM($L82:$S82)=0)),"OK","Verificar: "&amp;IF(AND(SUM($H82:$I82)&lt;&gt;$D82,SUM($H82:$I82)&lt;&gt;0),"perfil ","")&amp;IF(AND(SUM($J82:$K82)&lt;&gt;$D82,SUM($J82:$K82)&lt;&gt;0),"gênero ","")&amp;IF(AND(SUM($L82:$S82)&lt;&gt;$D82,SUM($L82:$S82)&lt;&gt;0),"professor","")))))</f>
        <v/>
      </c>
      <c r="U82" s="5" t="n"/>
    </row>
    <row r="83" ht="18" customHeight="1">
      <c r="A83" s="3" t="n">
        <v>46135</v>
      </c>
      <c r="B83" s="4">
        <f>IF($A83="","",CHOOSE(MONTH($A83),"Janeiro","Fevereiro","Março","Abril","Maio","Junho","Julho","Agosto","Setembro","Outubro","Novembro","Dezembro"))</f>
        <v/>
      </c>
      <c r="C83" s="4">
        <f>IF($A83="","",CHOOSE(WEEKDAY($A83),"Domingo","Segunda-feira","Terça-feira","Quarta-feira","Quinta-feira","Sexta-feira","Sábado"))</f>
        <v/>
      </c>
      <c r="D83" s="5" t="n">
        <v>4</v>
      </c>
      <c r="E83" s="6">
        <f>IFERROR(INDEX(Consolidado_Mensal!$B$2:$B$12,MATCH($B83,Consolidado_Mensal!$A$2:$A$12,0)),"")</f>
        <v/>
      </c>
      <c r="F83" s="7">
        <f>IF($E83="","",SUMIFS($D$2:$D83,$B$2:$B83,$B83)/$E83)</f>
        <v/>
      </c>
      <c r="G83" s="6">
        <f>IF($E83="","",MAX(0,$E83-SUMIFS($D$2:$D83,$B$2:$B83,$B83)))</f>
        <v/>
      </c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6">
        <f>IF($D83="","",IF(AND($D83=0,SUM($H83:$S83)=0),"OK",IF(SUM($H83:$S83)=0,"Sem detalhe",IF(AND(OR(SUM($H83:$I83)=$D83,SUM($H83:$I83)=0),OR(SUM($J83:$K83)=$D83,SUM($J83:$K83)=0),OR(SUM($L83:$S83)=$D83,SUM($L83:$S83)=0)),"OK","Verificar: "&amp;IF(AND(SUM($H83:$I83)&lt;&gt;$D83,SUM($H83:$I83)&lt;&gt;0),"perfil ","")&amp;IF(AND(SUM($J83:$K83)&lt;&gt;$D83,SUM($J83:$K83)&lt;&gt;0),"gênero ","")&amp;IF(AND(SUM($L83:$S83)&lt;&gt;$D83,SUM($L83:$S83)&lt;&gt;0),"professor","")))))</f>
        <v/>
      </c>
      <c r="U83" s="5" t="n"/>
    </row>
    <row r="84" ht="18" customHeight="1">
      <c r="A84" s="3" t="n">
        <v>46136</v>
      </c>
      <c r="B84" s="4">
        <f>IF($A84="","",CHOOSE(MONTH($A84),"Janeiro","Fevereiro","Março","Abril","Maio","Junho","Julho","Agosto","Setembro","Outubro","Novembro","Dezembro"))</f>
        <v/>
      </c>
      <c r="C84" s="4">
        <f>IF($A84="","",CHOOSE(WEEKDAY($A84),"Domingo","Segunda-feira","Terça-feira","Quarta-feira","Quinta-feira","Sexta-feira","Sábado"))</f>
        <v/>
      </c>
      <c r="D84" s="5" t="n">
        <v>2</v>
      </c>
      <c r="E84" s="6">
        <f>IFERROR(INDEX(Consolidado_Mensal!$B$2:$B$12,MATCH($B84,Consolidado_Mensal!$A$2:$A$12,0)),"")</f>
        <v/>
      </c>
      <c r="F84" s="7">
        <f>IF($E84="","",SUMIFS($D$2:$D84,$B$2:$B84,$B84)/$E84)</f>
        <v/>
      </c>
      <c r="G84" s="6">
        <f>IF($E84="","",MAX(0,$E84-SUMIFS($D$2:$D84,$B$2:$B84,$B84)))</f>
        <v/>
      </c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6">
        <f>IF($D84="","",IF(AND($D84=0,SUM($H84:$S84)=0),"OK",IF(SUM($H84:$S84)=0,"Sem detalhe",IF(AND(OR(SUM($H84:$I84)=$D84,SUM($H84:$I84)=0),OR(SUM($J84:$K84)=$D84,SUM($J84:$K84)=0),OR(SUM($L84:$S84)=$D84,SUM($L84:$S84)=0)),"OK","Verificar: "&amp;IF(AND(SUM($H84:$I84)&lt;&gt;$D84,SUM($H84:$I84)&lt;&gt;0),"perfil ","")&amp;IF(AND(SUM($J84:$K84)&lt;&gt;$D84,SUM($J84:$K84)&lt;&gt;0),"gênero ","")&amp;IF(AND(SUM($L84:$S84)&lt;&gt;$D84,SUM($L84:$S84)&lt;&gt;0),"professor","")))))</f>
        <v/>
      </c>
      <c r="U84" s="5" t="n"/>
    </row>
    <row r="85" ht="18" customHeight="1">
      <c r="A85" s="3" t="n">
        <v>46137</v>
      </c>
      <c r="B85" s="4">
        <f>IF($A85="","",CHOOSE(MONTH($A85),"Janeiro","Fevereiro","Março","Abril","Maio","Junho","Julho","Agosto","Setembro","Outubro","Novembro","Dezembro"))</f>
        <v/>
      </c>
      <c r="C85" s="4">
        <f>IF($A85="","",CHOOSE(WEEKDAY($A85),"Domingo","Segunda-feira","Terça-feira","Quarta-feira","Quinta-feira","Sexta-feira","Sábado"))</f>
        <v/>
      </c>
      <c r="D85" s="5" t="n"/>
      <c r="E85" s="6">
        <f>IFERROR(INDEX(Consolidado_Mensal!$B$2:$B$12,MATCH($B85,Consolidado_Mensal!$A$2:$A$12,0)),"")</f>
        <v/>
      </c>
      <c r="F85" s="7">
        <f>IF($E85="","",SUMIFS($D$2:$D85,$B$2:$B85,$B85)/$E85)</f>
        <v/>
      </c>
      <c r="G85" s="6">
        <f>IF($E85="","",MAX(0,$E85-SUMIFS($D$2:$D85,$B$2:$B85,$B85)))</f>
        <v/>
      </c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6">
        <f>IF($D85="","",IF(AND($D85=0,SUM($H85:$S85)=0),"OK",IF(SUM($H85:$S85)=0,"Sem detalhe",IF(AND(OR(SUM($H85:$I85)=$D85,SUM($H85:$I85)=0),OR(SUM($J85:$K85)=$D85,SUM($J85:$K85)=0),OR(SUM($L85:$S85)=$D85,SUM($L85:$S85)=0)),"OK","Verificar: "&amp;IF(AND(SUM($H85:$I85)&lt;&gt;$D85,SUM($H85:$I85)&lt;&gt;0),"perfil ","")&amp;IF(AND(SUM($J85:$K85)&lt;&gt;$D85,SUM($J85:$K85)&lt;&gt;0),"gênero ","")&amp;IF(AND(SUM($L85:$S85)&lt;&gt;$D85,SUM($L85:$S85)&lt;&gt;0),"professor","")))))</f>
        <v/>
      </c>
      <c r="U85" s="5" t="n"/>
    </row>
    <row r="86" ht="18" customHeight="1">
      <c r="A86" s="3" t="n">
        <v>46138</v>
      </c>
      <c r="B86" s="4">
        <f>IF($A86="","",CHOOSE(MONTH($A86),"Janeiro","Fevereiro","Março","Abril","Maio","Junho","Julho","Agosto","Setembro","Outubro","Novembro","Dezembro"))</f>
        <v/>
      </c>
      <c r="C86" s="4">
        <f>IF($A86="","",CHOOSE(WEEKDAY($A86),"Domingo","Segunda-feira","Terça-feira","Quarta-feira","Quinta-feira","Sexta-feira","Sábado"))</f>
        <v/>
      </c>
      <c r="D86" s="5" t="n"/>
      <c r="E86" s="6">
        <f>IFERROR(INDEX(Consolidado_Mensal!$B$2:$B$12,MATCH($B86,Consolidado_Mensal!$A$2:$A$12,0)),"")</f>
        <v/>
      </c>
      <c r="F86" s="7">
        <f>IF($E86="","",SUMIFS($D$2:$D86,$B$2:$B86,$B86)/$E86)</f>
        <v/>
      </c>
      <c r="G86" s="6">
        <f>IF($E86="","",MAX(0,$E86-SUMIFS($D$2:$D86,$B$2:$B86,$B86)))</f>
        <v/>
      </c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6">
        <f>IF($D86="","",IF(AND($D86=0,SUM($H86:$S86)=0),"OK",IF(SUM($H86:$S86)=0,"Sem detalhe",IF(AND(OR(SUM($H86:$I86)=$D86,SUM($H86:$I86)=0),OR(SUM($J86:$K86)=$D86,SUM($J86:$K86)=0),OR(SUM($L86:$S86)=$D86,SUM($L86:$S86)=0)),"OK","Verificar: "&amp;IF(AND(SUM($H86:$I86)&lt;&gt;$D86,SUM($H86:$I86)&lt;&gt;0),"perfil ","")&amp;IF(AND(SUM($J86:$K86)&lt;&gt;$D86,SUM($J86:$K86)&lt;&gt;0),"gênero ","")&amp;IF(AND(SUM($L86:$S86)&lt;&gt;$D86,SUM($L86:$S86)&lt;&gt;0),"professor","")))))</f>
        <v/>
      </c>
      <c r="U86" s="5" t="n"/>
    </row>
    <row r="87" ht="18" customHeight="1">
      <c r="A87" s="3" t="n">
        <v>46139</v>
      </c>
      <c r="B87" s="4">
        <f>IF($A87="","",CHOOSE(MONTH($A87),"Janeiro","Fevereiro","Março","Abril","Maio","Junho","Julho","Agosto","Setembro","Outubro","Novembro","Dezembro"))</f>
        <v/>
      </c>
      <c r="C87" s="4">
        <f>IF($A87="","",CHOOSE(WEEKDAY($A87),"Domingo","Segunda-feira","Terça-feira","Quarta-feira","Quinta-feira","Sexta-feira","Sábado"))</f>
        <v/>
      </c>
      <c r="D87" s="5" t="n">
        <v>2</v>
      </c>
      <c r="E87" s="6">
        <f>IFERROR(INDEX(Consolidado_Mensal!$B$2:$B$12,MATCH($B87,Consolidado_Mensal!$A$2:$A$12,0)),"")</f>
        <v/>
      </c>
      <c r="F87" s="7">
        <f>IF($E87="","",SUMIFS($D$2:$D87,$B$2:$B87,$B87)/$E87)</f>
        <v/>
      </c>
      <c r="G87" s="6">
        <f>IF($E87="","",MAX(0,$E87-SUMIFS($D$2:$D87,$B$2:$B87,$B87)))</f>
        <v/>
      </c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6">
        <f>IF($D87="","",IF(AND($D87=0,SUM($H87:$S87)=0),"OK",IF(SUM($H87:$S87)=0,"Sem detalhe",IF(AND(OR(SUM($H87:$I87)=$D87,SUM($H87:$I87)=0),OR(SUM($J87:$K87)=$D87,SUM($J87:$K87)=0),OR(SUM($L87:$S87)=$D87,SUM($L87:$S87)=0)),"OK","Verificar: "&amp;IF(AND(SUM($H87:$I87)&lt;&gt;$D87,SUM($H87:$I87)&lt;&gt;0),"perfil ","")&amp;IF(AND(SUM($J87:$K87)&lt;&gt;$D87,SUM($J87:$K87)&lt;&gt;0),"gênero ","")&amp;IF(AND(SUM($L87:$S87)&lt;&gt;$D87,SUM($L87:$S87)&lt;&gt;0),"professor","")))))</f>
        <v/>
      </c>
      <c r="U87" s="5" t="n"/>
    </row>
    <row r="88" ht="18" customHeight="1">
      <c r="A88" s="3" t="n">
        <v>46140</v>
      </c>
      <c r="B88" s="4">
        <f>IF($A88="","",CHOOSE(MONTH($A88),"Janeiro","Fevereiro","Março","Abril","Maio","Junho","Julho","Agosto","Setembro","Outubro","Novembro","Dezembro"))</f>
        <v/>
      </c>
      <c r="C88" s="4">
        <f>IF($A88="","",CHOOSE(WEEKDAY($A88),"Domingo","Segunda-feira","Terça-feira","Quarta-feira","Quinta-feira","Sexta-feira","Sábado"))</f>
        <v/>
      </c>
      <c r="D88" s="5" t="n">
        <v>1</v>
      </c>
      <c r="E88" s="6">
        <f>IFERROR(INDEX(Consolidado_Mensal!$B$2:$B$12,MATCH($B88,Consolidado_Mensal!$A$2:$A$12,0)),"")</f>
        <v/>
      </c>
      <c r="F88" s="7">
        <f>IF($E88="","",SUMIFS($D$2:$D88,$B$2:$B88,$B88)/$E88)</f>
        <v/>
      </c>
      <c r="G88" s="6">
        <f>IF($E88="","",MAX(0,$E88-SUMIFS($D$2:$D88,$B$2:$B88,$B88)))</f>
        <v/>
      </c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6">
        <f>IF($D88="","",IF(AND($D88=0,SUM($H88:$S88)=0),"OK",IF(SUM($H88:$S88)=0,"Sem detalhe",IF(AND(OR(SUM($H88:$I88)=$D88,SUM($H88:$I88)=0),OR(SUM($J88:$K88)=$D88,SUM($J88:$K88)=0),OR(SUM($L88:$S88)=$D88,SUM($L88:$S88)=0)),"OK","Verificar: "&amp;IF(AND(SUM($H88:$I88)&lt;&gt;$D88,SUM($H88:$I88)&lt;&gt;0),"perfil ","")&amp;IF(AND(SUM($J88:$K88)&lt;&gt;$D88,SUM($J88:$K88)&lt;&gt;0),"gênero ","")&amp;IF(AND(SUM($L88:$S88)&lt;&gt;$D88,SUM($L88:$S88)&lt;&gt;0),"professor","")))))</f>
        <v/>
      </c>
      <c r="U88" s="5" t="n"/>
    </row>
    <row r="89" ht="18" customHeight="1">
      <c r="A89" s="3" t="n">
        <v>46141</v>
      </c>
      <c r="B89" s="4">
        <f>IF($A89="","",CHOOSE(MONTH($A89),"Janeiro","Fevereiro","Março","Abril","Maio","Junho","Julho","Agosto","Setembro","Outubro","Novembro","Dezembro"))</f>
        <v/>
      </c>
      <c r="C89" s="4">
        <f>IF($A89="","",CHOOSE(WEEKDAY($A89),"Domingo","Segunda-feira","Terça-feira","Quarta-feira","Quinta-feira","Sexta-feira","Sábado"))</f>
        <v/>
      </c>
      <c r="D89" s="5" t="n">
        <v>5</v>
      </c>
      <c r="E89" s="6">
        <f>IFERROR(INDEX(Consolidado_Mensal!$B$2:$B$12,MATCH($B89,Consolidado_Mensal!$A$2:$A$12,0)),"")</f>
        <v/>
      </c>
      <c r="F89" s="7">
        <f>IF($E89="","",SUMIFS($D$2:$D89,$B$2:$B89,$B89)/$E89)</f>
        <v/>
      </c>
      <c r="G89" s="6">
        <f>IF($E89="","",MAX(0,$E89-SUMIFS($D$2:$D89,$B$2:$B89,$B89)))</f>
        <v/>
      </c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6">
        <f>IF($D89="","",IF(AND($D89=0,SUM($H89:$S89)=0),"OK",IF(SUM($H89:$S89)=0,"Sem detalhe",IF(AND(OR(SUM($H89:$I89)=$D89,SUM($H89:$I89)=0),OR(SUM($J89:$K89)=$D89,SUM($J89:$K89)=0),OR(SUM($L89:$S89)=$D89,SUM($L89:$S89)=0)),"OK","Verificar: "&amp;IF(AND(SUM($H89:$I89)&lt;&gt;$D89,SUM($H89:$I89)&lt;&gt;0),"perfil ","")&amp;IF(AND(SUM($J89:$K89)&lt;&gt;$D89,SUM($J89:$K89)&lt;&gt;0),"gênero ","")&amp;IF(AND(SUM($L89:$S89)&lt;&gt;$D89,SUM($L89:$S89)&lt;&gt;0),"professor","")))))</f>
        <v/>
      </c>
      <c r="U89" s="5" t="n"/>
    </row>
    <row r="90" ht="18" customHeight="1">
      <c r="A90" s="3" t="n">
        <v>46142</v>
      </c>
      <c r="B90" s="4">
        <f>IF($A90="","",CHOOSE(MONTH($A90),"Janeiro","Fevereiro","Março","Abril","Maio","Junho","Julho","Agosto","Setembro","Outubro","Novembro","Dezembro"))</f>
        <v/>
      </c>
      <c r="C90" s="4">
        <f>IF($A90="","",CHOOSE(WEEKDAY($A90),"Domingo","Segunda-feira","Terça-feira","Quarta-feira","Quinta-feira","Sexta-feira","Sábado"))</f>
        <v/>
      </c>
      <c r="D90" s="5" t="n"/>
      <c r="E90" s="6">
        <f>IFERROR(INDEX(Consolidado_Mensal!$B$2:$B$12,MATCH($B90,Consolidado_Mensal!$A$2:$A$12,0)),"")</f>
        <v/>
      </c>
      <c r="F90" s="7">
        <f>IF($E90="","",SUMIFS($D$2:$D90,$B$2:$B90,$B90)/$E90)</f>
        <v/>
      </c>
      <c r="G90" s="6">
        <f>IF($E90="","",MAX(0,$E90-SUMIFS($D$2:$D90,$B$2:$B90,$B90)))</f>
        <v/>
      </c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6">
        <f>IF($D90="","",IF(AND($D90=0,SUM($H90:$S90)=0),"OK",IF(SUM($H90:$S90)=0,"Sem detalhe",IF(AND(OR(SUM($H90:$I90)=$D90,SUM($H90:$I90)=0),OR(SUM($J90:$K90)=$D90,SUM($J90:$K90)=0),OR(SUM($L90:$S90)=$D90,SUM($L90:$S90)=0)),"OK","Verificar: "&amp;IF(AND(SUM($H90:$I90)&lt;&gt;$D90,SUM($H90:$I90)&lt;&gt;0),"perfil ","")&amp;IF(AND(SUM($J90:$K90)&lt;&gt;$D90,SUM($J90:$K90)&lt;&gt;0),"gênero ","")&amp;IF(AND(SUM($L90:$S90)&lt;&gt;$D90,SUM($L90:$S90)&lt;&gt;0),"professor","")))))</f>
        <v/>
      </c>
      <c r="U90" s="5" t="n"/>
    </row>
    <row r="91" ht="18" customHeight="1">
      <c r="A91" s="3" t="n">
        <v>46143</v>
      </c>
      <c r="B91" s="4">
        <f>IF($A91="","",CHOOSE(MONTH($A91),"Janeiro","Fevereiro","Março","Abril","Maio","Junho","Julho","Agosto","Setembro","Outubro","Novembro","Dezembro"))</f>
        <v/>
      </c>
      <c r="C91" s="4">
        <f>IF($A91="","",CHOOSE(WEEKDAY($A91),"Domingo","Segunda-feira","Terça-feira","Quarta-feira","Quinta-feira","Sexta-feira","Sábado"))</f>
        <v/>
      </c>
      <c r="D91" s="5" t="n"/>
      <c r="E91" s="6">
        <f>IFERROR(INDEX(Consolidado_Mensal!$B$2:$B$12,MATCH($B91,Consolidado_Mensal!$A$2:$A$12,0)),"")</f>
        <v/>
      </c>
      <c r="F91" s="7">
        <f>IF($E91="","",SUMIFS($D$2:$D91,$B$2:$B91,$B91)/$E91)</f>
        <v/>
      </c>
      <c r="G91" s="6">
        <f>IF($E91="","",MAX(0,$E91-SUMIFS($D$2:$D91,$B$2:$B91,$B91)))</f>
        <v/>
      </c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6">
        <f>IF($D91="","",IF(AND($D91=0,SUM($H91:$S91)=0),"OK",IF(SUM($H91:$S91)=0,"Sem detalhe",IF(AND(OR(SUM($H91:$I91)=$D91,SUM($H91:$I91)=0),OR(SUM($J91:$K91)=$D91,SUM($J91:$K91)=0),OR(SUM($L91:$S91)=$D91,SUM($L91:$S91)=0)),"OK","Verificar: "&amp;IF(AND(SUM($H91:$I91)&lt;&gt;$D91,SUM($H91:$I91)&lt;&gt;0),"perfil ","")&amp;IF(AND(SUM($J91:$K91)&lt;&gt;$D91,SUM($J91:$K91)&lt;&gt;0),"gênero ","")&amp;IF(AND(SUM($L91:$S91)&lt;&gt;$D91,SUM($L91:$S91)&lt;&gt;0),"professor","")))))</f>
        <v/>
      </c>
      <c r="U91" s="5" t="n"/>
    </row>
    <row r="92" ht="18" customHeight="1">
      <c r="A92" s="3" t="n">
        <v>46144</v>
      </c>
      <c r="B92" s="4">
        <f>IF($A92="","",CHOOSE(MONTH($A92),"Janeiro","Fevereiro","Março","Abril","Maio","Junho","Julho","Agosto","Setembro","Outubro","Novembro","Dezembro"))</f>
        <v/>
      </c>
      <c r="C92" s="4">
        <f>IF($A92="","",CHOOSE(WEEKDAY($A92),"Domingo","Segunda-feira","Terça-feira","Quarta-feira","Quinta-feira","Sexta-feira","Sábado"))</f>
        <v/>
      </c>
      <c r="D92" s="5" t="n"/>
      <c r="E92" s="6">
        <f>IFERROR(INDEX(Consolidado_Mensal!$B$2:$B$12,MATCH($B92,Consolidado_Mensal!$A$2:$A$12,0)),"")</f>
        <v/>
      </c>
      <c r="F92" s="7">
        <f>IF($E92="","",SUMIFS($D$2:$D92,$B$2:$B92,$B92)/$E92)</f>
        <v/>
      </c>
      <c r="G92" s="6">
        <f>IF($E92="","",MAX(0,$E92-SUMIFS($D$2:$D92,$B$2:$B92,$B92)))</f>
        <v/>
      </c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6">
        <f>IF($D92="","",IF(AND($D92=0,SUM($H92:$S92)=0),"OK",IF(SUM($H92:$S92)=0,"Sem detalhe",IF(AND(OR(SUM($H92:$I92)=$D92,SUM($H92:$I92)=0),OR(SUM($J92:$K92)=$D92,SUM($J92:$K92)=0),OR(SUM($L92:$S92)=$D92,SUM($L92:$S92)=0)),"OK","Verificar: "&amp;IF(AND(SUM($H92:$I92)&lt;&gt;$D92,SUM($H92:$I92)&lt;&gt;0),"perfil ","")&amp;IF(AND(SUM($J92:$K92)&lt;&gt;$D92,SUM($J92:$K92)&lt;&gt;0),"gênero ","")&amp;IF(AND(SUM($L92:$S92)&lt;&gt;$D92,SUM($L92:$S92)&lt;&gt;0),"professor","")))))</f>
        <v/>
      </c>
      <c r="U92" s="5" t="n"/>
    </row>
    <row r="93" ht="18" customHeight="1">
      <c r="A93" s="3" t="n">
        <v>46145</v>
      </c>
      <c r="B93" s="4">
        <f>IF($A93="","",CHOOSE(MONTH($A93),"Janeiro","Fevereiro","Março","Abril","Maio","Junho","Julho","Agosto","Setembro","Outubro","Novembro","Dezembro"))</f>
        <v/>
      </c>
      <c r="C93" s="4">
        <f>IF($A93="","",CHOOSE(WEEKDAY($A93),"Domingo","Segunda-feira","Terça-feira","Quarta-feira","Quinta-feira","Sexta-feira","Sábado"))</f>
        <v/>
      </c>
      <c r="D93" s="5" t="n"/>
      <c r="E93" s="6">
        <f>IFERROR(INDEX(Consolidado_Mensal!$B$2:$B$12,MATCH($B93,Consolidado_Mensal!$A$2:$A$12,0)),"")</f>
        <v/>
      </c>
      <c r="F93" s="7">
        <f>IF($E93="","",SUMIFS($D$2:$D93,$B$2:$B93,$B93)/$E93)</f>
        <v/>
      </c>
      <c r="G93" s="6">
        <f>IF($E93="","",MAX(0,$E93-SUMIFS($D$2:$D93,$B$2:$B93,$B93)))</f>
        <v/>
      </c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6">
        <f>IF($D93="","",IF(AND($D93=0,SUM($H93:$S93)=0),"OK",IF(SUM($H93:$S93)=0,"Sem detalhe",IF(AND(OR(SUM($H93:$I93)=$D93,SUM($H93:$I93)=0),OR(SUM($J93:$K93)=$D93,SUM($J93:$K93)=0),OR(SUM($L93:$S93)=$D93,SUM($L93:$S93)=0)),"OK","Verificar: "&amp;IF(AND(SUM($H93:$I93)&lt;&gt;$D93,SUM($H93:$I93)&lt;&gt;0),"perfil ","")&amp;IF(AND(SUM($J93:$K93)&lt;&gt;$D93,SUM($J93:$K93)&lt;&gt;0),"gênero ","")&amp;IF(AND(SUM($L93:$S93)&lt;&gt;$D93,SUM($L93:$S93)&lt;&gt;0),"professor","")))))</f>
        <v/>
      </c>
      <c r="U93" s="5" t="n"/>
    </row>
    <row r="94" ht="18" customHeight="1">
      <c r="A94" s="3" t="n">
        <v>46146</v>
      </c>
      <c r="B94" s="4">
        <f>IF($A94="","",CHOOSE(MONTH($A94),"Janeiro","Fevereiro","Março","Abril","Maio","Junho","Julho","Agosto","Setembro","Outubro","Novembro","Dezembro"))</f>
        <v/>
      </c>
      <c r="C94" s="4">
        <f>IF($A94="","",CHOOSE(WEEKDAY($A94),"Domingo","Segunda-feira","Terça-feira","Quarta-feira","Quinta-feira","Sexta-feira","Sábado"))</f>
        <v/>
      </c>
      <c r="D94" s="5" t="n">
        <v>1</v>
      </c>
      <c r="E94" s="6">
        <f>IFERROR(INDEX(Consolidado_Mensal!$B$2:$B$12,MATCH($B94,Consolidado_Mensal!$A$2:$A$12,0)),"")</f>
        <v/>
      </c>
      <c r="F94" s="7">
        <f>IF($E94="","",SUMIFS($D$2:$D94,$B$2:$B94,$B94)/$E94)</f>
        <v/>
      </c>
      <c r="G94" s="6">
        <f>IF($E94="","",MAX(0,$E94-SUMIFS($D$2:$D94,$B$2:$B94,$B94)))</f>
        <v/>
      </c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6">
        <f>IF($D94="","",IF(AND($D94=0,SUM($H94:$S94)=0),"OK",IF(SUM($H94:$S94)=0,"Sem detalhe",IF(AND(OR(SUM($H94:$I94)=$D94,SUM($H94:$I94)=0),OR(SUM($J94:$K94)=$D94,SUM($J94:$K94)=0),OR(SUM($L94:$S94)=$D94,SUM($L94:$S94)=0)),"OK","Verificar: "&amp;IF(AND(SUM($H94:$I94)&lt;&gt;$D94,SUM($H94:$I94)&lt;&gt;0),"perfil ","")&amp;IF(AND(SUM($J94:$K94)&lt;&gt;$D94,SUM($J94:$K94)&lt;&gt;0),"gênero ","")&amp;IF(AND(SUM($L94:$S94)&lt;&gt;$D94,SUM($L94:$S94)&lt;&gt;0),"professor","")))))</f>
        <v/>
      </c>
      <c r="U94" s="5" t="n"/>
    </row>
    <row r="95" ht="18" customHeight="1">
      <c r="A95" s="3" t="n">
        <v>46147</v>
      </c>
      <c r="B95" s="4">
        <f>IF($A95="","",CHOOSE(MONTH($A95),"Janeiro","Fevereiro","Março","Abril","Maio","Junho","Julho","Agosto","Setembro","Outubro","Novembro","Dezembro"))</f>
        <v/>
      </c>
      <c r="C95" s="4">
        <f>IF($A95="","",CHOOSE(WEEKDAY($A95),"Domingo","Segunda-feira","Terça-feira","Quarta-feira","Quinta-feira","Sexta-feira","Sábado"))</f>
        <v/>
      </c>
      <c r="D95" s="5" t="n">
        <v>1</v>
      </c>
      <c r="E95" s="6">
        <f>IFERROR(INDEX(Consolidado_Mensal!$B$2:$B$12,MATCH($B95,Consolidado_Mensal!$A$2:$A$12,0)),"")</f>
        <v/>
      </c>
      <c r="F95" s="7">
        <f>IF($E95="","",SUMIFS($D$2:$D95,$B$2:$B95,$B95)/$E95)</f>
        <v/>
      </c>
      <c r="G95" s="6">
        <f>IF($E95="","",MAX(0,$E95-SUMIFS($D$2:$D95,$B$2:$B95,$B95)))</f>
        <v/>
      </c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6">
        <f>IF($D95="","",IF(AND($D95=0,SUM($H95:$S95)=0),"OK",IF(SUM($H95:$S95)=0,"Sem detalhe",IF(AND(OR(SUM($H95:$I95)=$D95,SUM($H95:$I95)=0),OR(SUM($J95:$K95)=$D95,SUM($J95:$K95)=0),OR(SUM($L95:$S95)=$D95,SUM($L95:$S95)=0)),"OK","Verificar: "&amp;IF(AND(SUM($H95:$I95)&lt;&gt;$D95,SUM($H95:$I95)&lt;&gt;0),"perfil ","")&amp;IF(AND(SUM($J95:$K95)&lt;&gt;$D95,SUM($J95:$K95)&lt;&gt;0),"gênero ","")&amp;IF(AND(SUM($L95:$S95)&lt;&gt;$D95,SUM($L95:$S95)&lt;&gt;0),"professor","")))))</f>
        <v/>
      </c>
      <c r="U95" s="5" t="n"/>
    </row>
    <row r="96" ht="18" customHeight="1">
      <c r="A96" s="3" t="n">
        <v>46148</v>
      </c>
      <c r="B96" s="4">
        <f>IF($A96="","",CHOOSE(MONTH($A96),"Janeiro","Fevereiro","Março","Abril","Maio","Junho","Julho","Agosto","Setembro","Outubro","Novembro","Dezembro"))</f>
        <v/>
      </c>
      <c r="C96" s="4">
        <f>IF($A96="","",CHOOSE(WEEKDAY($A96),"Domingo","Segunda-feira","Terça-feira","Quarta-feira","Quinta-feira","Sexta-feira","Sábado"))</f>
        <v/>
      </c>
      <c r="D96" s="5" t="n">
        <v>2</v>
      </c>
      <c r="E96" s="6">
        <f>IFERROR(INDEX(Consolidado_Mensal!$B$2:$B$12,MATCH($B96,Consolidado_Mensal!$A$2:$A$12,0)),"")</f>
        <v/>
      </c>
      <c r="F96" s="7">
        <f>IF($E96="","",SUMIFS($D$2:$D96,$B$2:$B96,$B96)/$E96)</f>
        <v/>
      </c>
      <c r="G96" s="6">
        <f>IF($E96="","",MAX(0,$E96-SUMIFS($D$2:$D96,$B$2:$B96,$B96)))</f>
        <v/>
      </c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6">
        <f>IF($D96="","",IF(AND($D96=0,SUM($H96:$S96)=0),"OK",IF(SUM($H96:$S96)=0,"Sem detalhe",IF(AND(OR(SUM($H96:$I96)=$D96,SUM($H96:$I96)=0),OR(SUM($J96:$K96)=$D96,SUM($J96:$K96)=0),OR(SUM($L96:$S96)=$D96,SUM($L96:$S96)=0)),"OK","Verificar: "&amp;IF(AND(SUM($H96:$I96)&lt;&gt;$D96,SUM($H96:$I96)&lt;&gt;0),"perfil ","")&amp;IF(AND(SUM($J96:$K96)&lt;&gt;$D96,SUM($J96:$K96)&lt;&gt;0),"gênero ","")&amp;IF(AND(SUM($L96:$S96)&lt;&gt;$D96,SUM($L96:$S96)&lt;&gt;0),"professor","")))))</f>
        <v/>
      </c>
      <c r="U96" s="5" t="n"/>
    </row>
    <row r="97" ht="18" customHeight="1">
      <c r="A97" s="3" t="n">
        <v>46149</v>
      </c>
      <c r="B97" s="4">
        <f>IF($A97="","",CHOOSE(MONTH($A97),"Janeiro","Fevereiro","Março","Abril","Maio","Junho","Julho","Agosto","Setembro","Outubro","Novembro","Dezembro"))</f>
        <v/>
      </c>
      <c r="C97" s="4">
        <f>IF($A97="","",CHOOSE(WEEKDAY($A97),"Domingo","Segunda-feira","Terça-feira","Quarta-feira","Quinta-feira","Sexta-feira","Sábado"))</f>
        <v/>
      </c>
      <c r="D97" s="5" t="n">
        <v>3</v>
      </c>
      <c r="E97" s="6">
        <f>IFERROR(INDEX(Consolidado_Mensal!$B$2:$B$12,MATCH($B97,Consolidado_Mensal!$A$2:$A$12,0)),"")</f>
        <v/>
      </c>
      <c r="F97" s="7">
        <f>IF($E97="","",SUMIFS($D$2:$D97,$B$2:$B97,$B97)/$E97)</f>
        <v/>
      </c>
      <c r="G97" s="6">
        <f>IF($E97="","",MAX(0,$E97-SUMIFS($D$2:$D97,$B$2:$B97,$B97)))</f>
        <v/>
      </c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6">
        <f>IF($D97="","",IF(AND($D97=0,SUM($H97:$S97)=0),"OK",IF(SUM($H97:$S97)=0,"Sem detalhe",IF(AND(OR(SUM($H97:$I97)=$D97,SUM($H97:$I97)=0),OR(SUM($J97:$K97)=$D97,SUM($J97:$K97)=0),OR(SUM($L97:$S97)=$D97,SUM($L97:$S97)=0)),"OK","Verificar: "&amp;IF(AND(SUM($H97:$I97)&lt;&gt;$D97,SUM($H97:$I97)&lt;&gt;0),"perfil ","")&amp;IF(AND(SUM($J97:$K97)&lt;&gt;$D97,SUM($J97:$K97)&lt;&gt;0),"gênero ","")&amp;IF(AND(SUM($L97:$S97)&lt;&gt;$D97,SUM($L97:$S97)&lt;&gt;0),"professor","")))))</f>
        <v/>
      </c>
      <c r="U97" s="5" t="n"/>
    </row>
    <row r="98" ht="18" customHeight="1">
      <c r="A98" s="3" t="n">
        <v>46150</v>
      </c>
      <c r="B98" s="4">
        <f>IF($A98="","",CHOOSE(MONTH($A98),"Janeiro","Fevereiro","Março","Abril","Maio","Junho","Julho","Agosto","Setembro","Outubro","Novembro","Dezembro"))</f>
        <v/>
      </c>
      <c r="C98" s="4">
        <f>IF($A98="","",CHOOSE(WEEKDAY($A98),"Domingo","Segunda-feira","Terça-feira","Quarta-feira","Quinta-feira","Sexta-feira","Sábado"))</f>
        <v/>
      </c>
      <c r="D98" s="5" t="n"/>
      <c r="E98" s="6">
        <f>IFERROR(INDEX(Consolidado_Mensal!$B$2:$B$12,MATCH($B98,Consolidado_Mensal!$A$2:$A$12,0)),"")</f>
        <v/>
      </c>
      <c r="F98" s="7">
        <f>IF($E98="","",SUMIFS($D$2:$D98,$B$2:$B98,$B98)/$E98)</f>
        <v/>
      </c>
      <c r="G98" s="6">
        <f>IF($E98="","",MAX(0,$E98-SUMIFS($D$2:$D98,$B$2:$B98,$B98)))</f>
        <v/>
      </c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6">
        <f>IF($D98="","",IF(AND($D98=0,SUM($H98:$S98)=0),"OK",IF(SUM($H98:$S98)=0,"Sem detalhe",IF(AND(OR(SUM($H98:$I98)=$D98,SUM($H98:$I98)=0),OR(SUM($J98:$K98)=$D98,SUM($J98:$K98)=0),OR(SUM($L98:$S98)=$D98,SUM($L98:$S98)=0)),"OK","Verificar: "&amp;IF(AND(SUM($H98:$I98)&lt;&gt;$D98,SUM($H98:$I98)&lt;&gt;0),"perfil ","")&amp;IF(AND(SUM($J98:$K98)&lt;&gt;$D98,SUM($J98:$K98)&lt;&gt;0),"gênero ","")&amp;IF(AND(SUM($L98:$S98)&lt;&gt;$D98,SUM($L98:$S98)&lt;&gt;0),"professor","")))))</f>
        <v/>
      </c>
      <c r="U98" s="5" t="n"/>
    </row>
    <row r="99" ht="18" customHeight="1">
      <c r="A99" s="3" t="n">
        <v>46151</v>
      </c>
      <c r="B99" s="4">
        <f>IF($A99="","",CHOOSE(MONTH($A99),"Janeiro","Fevereiro","Março","Abril","Maio","Junho","Julho","Agosto","Setembro","Outubro","Novembro","Dezembro"))</f>
        <v/>
      </c>
      <c r="C99" s="4">
        <f>IF($A99="","",CHOOSE(WEEKDAY($A99),"Domingo","Segunda-feira","Terça-feira","Quarta-feira","Quinta-feira","Sexta-feira","Sábado"))</f>
        <v/>
      </c>
      <c r="D99" s="5" t="n"/>
      <c r="E99" s="6">
        <f>IFERROR(INDEX(Consolidado_Mensal!$B$2:$B$12,MATCH($B99,Consolidado_Mensal!$A$2:$A$12,0)),"")</f>
        <v/>
      </c>
      <c r="F99" s="7">
        <f>IF($E99="","",SUMIFS($D$2:$D99,$B$2:$B99,$B99)/$E99)</f>
        <v/>
      </c>
      <c r="G99" s="6">
        <f>IF($E99="","",MAX(0,$E99-SUMIFS($D$2:$D99,$B$2:$B99,$B99)))</f>
        <v/>
      </c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6">
        <f>IF($D99="","",IF(AND($D99=0,SUM($H99:$S99)=0),"OK",IF(SUM($H99:$S99)=0,"Sem detalhe",IF(AND(OR(SUM($H99:$I99)=$D99,SUM($H99:$I99)=0),OR(SUM($J99:$K99)=$D99,SUM($J99:$K99)=0),OR(SUM($L99:$S99)=$D99,SUM($L99:$S99)=0)),"OK","Verificar: "&amp;IF(AND(SUM($H99:$I99)&lt;&gt;$D99,SUM($H99:$I99)&lt;&gt;0),"perfil ","")&amp;IF(AND(SUM($J99:$K99)&lt;&gt;$D99,SUM($J99:$K99)&lt;&gt;0),"gênero ","")&amp;IF(AND(SUM($L99:$S99)&lt;&gt;$D99,SUM($L99:$S99)&lt;&gt;0),"professor","")))))</f>
        <v/>
      </c>
      <c r="U99" s="5" t="n"/>
    </row>
    <row r="100" ht="18" customHeight="1">
      <c r="A100" s="3" t="n">
        <v>46152</v>
      </c>
      <c r="B100" s="4">
        <f>IF($A100="","",CHOOSE(MONTH($A100),"Janeiro","Fevereiro","Março","Abril","Maio","Junho","Julho","Agosto","Setembro","Outubro","Novembro","Dezembro"))</f>
        <v/>
      </c>
      <c r="C100" s="4">
        <f>IF($A100="","",CHOOSE(WEEKDAY($A100),"Domingo","Segunda-feira","Terça-feira","Quarta-feira","Quinta-feira","Sexta-feira","Sábado"))</f>
        <v/>
      </c>
      <c r="D100" s="5" t="n"/>
      <c r="E100" s="6">
        <f>IFERROR(INDEX(Consolidado_Mensal!$B$2:$B$12,MATCH($B100,Consolidado_Mensal!$A$2:$A$12,0)),"")</f>
        <v/>
      </c>
      <c r="F100" s="7">
        <f>IF($E100="","",SUMIFS($D$2:$D100,$B$2:$B100,$B100)/$E100)</f>
        <v/>
      </c>
      <c r="G100" s="6">
        <f>IF($E100="","",MAX(0,$E100-SUMIFS($D$2:$D100,$B$2:$B100,$B100)))</f>
        <v/>
      </c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6">
        <f>IF($D100="","",IF(AND($D100=0,SUM($H100:$S100)=0),"OK",IF(SUM($H100:$S100)=0,"Sem detalhe",IF(AND(OR(SUM($H100:$I100)=$D100,SUM($H100:$I100)=0),OR(SUM($J100:$K100)=$D100,SUM($J100:$K100)=0),OR(SUM($L100:$S100)=$D100,SUM($L100:$S100)=0)),"OK","Verificar: "&amp;IF(AND(SUM($H100:$I100)&lt;&gt;$D100,SUM($H100:$I100)&lt;&gt;0),"perfil ","")&amp;IF(AND(SUM($J100:$K100)&lt;&gt;$D100,SUM($J100:$K100)&lt;&gt;0),"gênero ","")&amp;IF(AND(SUM($L100:$S100)&lt;&gt;$D100,SUM($L100:$S100)&lt;&gt;0),"professor","")))))</f>
        <v/>
      </c>
      <c r="U100" s="5" t="n"/>
    </row>
    <row r="101" ht="18" customHeight="1">
      <c r="A101" s="3" t="n">
        <v>46153</v>
      </c>
      <c r="B101" s="4">
        <f>IF($A101="","",CHOOSE(MONTH($A101),"Janeiro","Fevereiro","Março","Abril","Maio","Junho","Julho","Agosto","Setembro","Outubro","Novembro","Dezembro"))</f>
        <v/>
      </c>
      <c r="C101" s="4">
        <f>IF($A101="","",CHOOSE(WEEKDAY($A101),"Domingo","Segunda-feira","Terça-feira","Quarta-feira","Quinta-feira","Sexta-feira","Sábado"))</f>
        <v/>
      </c>
      <c r="D101" s="5" t="n">
        <v>2</v>
      </c>
      <c r="E101" s="6">
        <f>IFERROR(INDEX(Consolidado_Mensal!$B$2:$B$12,MATCH($B101,Consolidado_Mensal!$A$2:$A$12,0)),"")</f>
        <v/>
      </c>
      <c r="F101" s="7">
        <f>IF($E101="","",SUMIFS($D$2:$D101,$B$2:$B101,$B101)/$E101)</f>
        <v/>
      </c>
      <c r="G101" s="6">
        <f>IF($E101="","",MAX(0,$E101-SUMIFS($D$2:$D101,$B$2:$B101,$B101)))</f>
        <v/>
      </c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6">
        <f>IF($D101="","",IF(AND($D101=0,SUM($H101:$S101)=0),"OK",IF(SUM($H101:$S101)=0,"Sem detalhe",IF(AND(OR(SUM($H101:$I101)=$D101,SUM($H101:$I101)=0),OR(SUM($J101:$K101)=$D101,SUM($J101:$K101)=0),OR(SUM($L101:$S101)=$D101,SUM($L101:$S101)=0)),"OK","Verificar: "&amp;IF(AND(SUM($H101:$I101)&lt;&gt;$D101,SUM($H101:$I101)&lt;&gt;0),"perfil ","")&amp;IF(AND(SUM($J101:$K101)&lt;&gt;$D101,SUM($J101:$K101)&lt;&gt;0),"gênero ","")&amp;IF(AND(SUM($L101:$S101)&lt;&gt;$D101,SUM($L101:$S101)&lt;&gt;0),"professor","")))))</f>
        <v/>
      </c>
      <c r="U101" s="5" t="n"/>
    </row>
    <row r="102" ht="18" customHeight="1">
      <c r="A102" s="3" t="n">
        <v>46154</v>
      </c>
      <c r="B102" s="4">
        <f>IF($A102="","",CHOOSE(MONTH($A102),"Janeiro","Fevereiro","Março","Abril","Maio","Junho","Julho","Agosto","Setembro","Outubro","Novembro","Dezembro"))</f>
        <v/>
      </c>
      <c r="C102" s="4">
        <f>IF($A102="","",CHOOSE(WEEKDAY($A102),"Domingo","Segunda-feira","Terça-feira","Quarta-feira","Quinta-feira","Sexta-feira","Sábado"))</f>
        <v/>
      </c>
      <c r="D102" s="5" t="n">
        <v>3</v>
      </c>
      <c r="E102" s="6">
        <f>IFERROR(INDEX(Consolidado_Mensal!$B$2:$B$12,MATCH($B102,Consolidado_Mensal!$A$2:$A$12,0)),"")</f>
        <v/>
      </c>
      <c r="F102" s="7">
        <f>IF($E102="","",SUMIFS($D$2:$D102,$B$2:$B102,$B102)/$E102)</f>
        <v/>
      </c>
      <c r="G102" s="6">
        <f>IF($E102="","",MAX(0,$E102-SUMIFS($D$2:$D102,$B$2:$B102,$B102)))</f>
        <v/>
      </c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6">
        <f>IF($D102="","",IF(AND($D102=0,SUM($H102:$S102)=0),"OK",IF(SUM($H102:$S102)=0,"Sem detalhe",IF(AND(OR(SUM($H102:$I102)=$D102,SUM($H102:$I102)=0),OR(SUM($J102:$K102)=$D102,SUM($J102:$K102)=0),OR(SUM($L102:$S102)=$D102,SUM($L102:$S102)=0)),"OK","Verificar: "&amp;IF(AND(SUM($H102:$I102)&lt;&gt;$D102,SUM($H102:$I102)&lt;&gt;0),"perfil ","")&amp;IF(AND(SUM($J102:$K102)&lt;&gt;$D102,SUM($J102:$K102)&lt;&gt;0),"gênero ","")&amp;IF(AND(SUM($L102:$S102)&lt;&gt;$D102,SUM($L102:$S102)&lt;&gt;0),"professor","")))))</f>
        <v/>
      </c>
      <c r="U102" s="5" t="n"/>
    </row>
    <row r="103" ht="18" customHeight="1">
      <c r="A103" s="3" t="n">
        <v>46155</v>
      </c>
      <c r="B103" s="4">
        <f>IF($A103="","",CHOOSE(MONTH($A103),"Janeiro","Fevereiro","Março","Abril","Maio","Junho","Julho","Agosto","Setembro","Outubro","Novembro","Dezembro"))</f>
        <v/>
      </c>
      <c r="C103" s="4">
        <f>IF($A103="","",CHOOSE(WEEKDAY($A103),"Domingo","Segunda-feira","Terça-feira","Quarta-feira","Quinta-feira","Sexta-feira","Sábado"))</f>
        <v/>
      </c>
      <c r="D103" s="5" t="n">
        <v>3</v>
      </c>
      <c r="E103" s="6">
        <f>IFERROR(INDEX(Consolidado_Mensal!$B$2:$B$12,MATCH($B103,Consolidado_Mensal!$A$2:$A$12,0)),"")</f>
        <v/>
      </c>
      <c r="F103" s="7">
        <f>IF($E103="","",SUMIFS($D$2:$D103,$B$2:$B103,$B103)/$E103)</f>
        <v/>
      </c>
      <c r="G103" s="6">
        <f>IF($E103="","",MAX(0,$E103-SUMIFS($D$2:$D103,$B$2:$B103,$B103)))</f>
        <v/>
      </c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6">
        <f>IF($D103="","",IF(AND($D103=0,SUM($H103:$S103)=0),"OK",IF(SUM($H103:$S103)=0,"Sem detalhe",IF(AND(OR(SUM($H103:$I103)=$D103,SUM($H103:$I103)=0),OR(SUM($J103:$K103)=$D103,SUM($J103:$K103)=0),OR(SUM($L103:$S103)=$D103,SUM($L103:$S103)=0)),"OK","Verificar: "&amp;IF(AND(SUM($H103:$I103)&lt;&gt;$D103,SUM($H103:$I103)&lt;&gt;0),"perfil ","")&amp;IF(AND(SUM($J103:$K103)&lt;&gt;$D103,SUM($J103:$K103)&lt;&gt;0),"gênero ","")&amp;IF(AND(SUM($L103:$S103)&lt;&gt;$D103,SUM($L103:$S103)&lt;&gt;0),"professor","")))))</f>
        <v/>
      </c>
      <c r="U103" s="5" t="n"/>
    </row>
    <row r="104" ht="18" customHeight="1">
      <c r="A104" s="3" t="n">
        <v>46156</v>
      </c>
      <c r="B104" s="4">
        <f>IF($A104="","",CHOOSE(MONTH($A104),"Janeiro","Fevereiro","Março","Abril","Maio","Junho","Julho","Agosto","Setembro","Outubro","Novembro","Dezembro"))</f>
        <v/>
      </c>
      <c r="C104" s="4">
        <f>IF($A104="","",CHOOSE(WEEKDAY($A104),"Domingo","Segunda-feira","Terça-feira","Quarta-feira","Quinta-feira","Sexta-feira","Sábado"))</f>
        <v/>
      </c>
      <c r="D104" s="5" t="n">
        <v>2</v>
      </c>
      <c r="E104" s="6">
        <f>IFERROR(INDEX(Consolidado_Mensal!$B$2:$B$12,MATCH($B104,Consolidado_Mensal!$A$2:$A$12,0)),"")</f>
        <v/>
      </c>
      <c r="F104" s="7">
        <f>IF($E104="","",SUMIFS($D$2:$D104,$B$2:$B104,$B104)/$E104)</f>
        <v/>
      </c>
      <c r="G104" s="6">
        <f>IF($E104="","",MAX(0,$E104-SUMIFS($D$2:$D104,$B$2:$B104,$B104)))</f>
        <v/>
      </c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6">
        <f>IF($D104="","",IF(AND($D104=0,SUM($H104:$S104)=0),"OK",IF(SUM($H104:$S104)=0,"Sem detalhe",IF(AND(OR(SUM($H104:$I104)=$D104,SUM($H104:$I104)=0),OR(SUM($J104:$K104)=$D104,SUM($J104:$K104)=0),OR(SUM($L104:$S104)=$D104,SUM($L104:$S104)=0)),"OK","Verificar: "&amp;IF(AND(SUM($H104:$I104)&lt;&gt;$D104,SUM($H104:$I104)&lt;&gt;0),"perfil ","")&amp;IF(AND(SUM($J104:$K104)&lt;&gt;$D104,SUM($J104:$K104)&lt;&gt;0),"gênero ","")&amp;IF(AND(SUM($L104:$S104)&lt;&gt;$D104,SUM($L104:$S104)&lt;&gt;0),"professor","")))))</f>
        <v/>
      </c>
      <c r="U104" s="5" t="n"/>
    </row>
    <row r="105" ht="18" customHeight="1">
      <c r="A105" s="3" t="n">
        <v>46157</v>
      </c>
      <c r="B105" s="4">
        <f>IF($A105="","",CHOOSE(MONTH($A105),"Janeiro","Fevereiro","Março","Abril","Maio","Junho","Julho","Agosto","Setembro","Outubro","Novembro","Dezembro"))</f>
        <v/>
      </c>
      <c r="C105" s="4">
        <f>IF($A105="","",CHOOSE(WEEKDAY($A105),"Domingo","Segunda-feira","Terça-feira","Quarta-feira","Quinta-feira","Sexta-feira","Sábado"))</f>
        <v/>
      </c>
      <c r="D105" s="5" t="n"/>
      <c r="E105" s="6">
        <f>IFERROR(INDEX(Consolidado_Mensal!$B$2:$B$12,MATCH($B105,Consolidado_Mensal!$A$2:$A$12,0)),"")</f>
        <v/>
      </c>
      <c r="F105" s="7">
        <f>IF($E105="","",SUMIFS($D$2:$D105,$B$2:$B105,$B105)/$E105)</f>
        <v/>
      </c>
      <c r="G105" s="6">
        <f>IF($E105="","",MAX(0,$E105-SUMIFS($D$2:$D105,$B$2:$B105,$B105)))</f>
        <v/>
      </c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6">
        <f>IF($D105="","",IF(AND($D105=0,SUM($H105:$S105)=0),"OK",IF(SUM($H105:$S105)=0,"Sem detalhe",IF(AND(OR(SUM($H105:$I105)=$D105,SUM($H105:$I105)=0),OR(SUM($J105:$K105)=$D105,SUM($J105:$K105)=0),OR(SUM($L105:$S105)=$D105,SUM($L105:$S105)=0)),"OK","Verificar: "&amp;IF(AND(SUM($H105:$I105)&lt;&gt;$D105,SUM($H105:$I105)&lt;&gt;0),"perfil ","")&amp;IF(AND(SUM($J105:$K105)&lt;&gt;$D105,SUM($J105:$K105)&lt;&gt;0),"gênero ","")&amp;IF(AND(SUM($L105:$S105)&lt;&gt;$D105,SUM($L105:$S105)&lt;&gt;0),"professor","")))))</f>
        <v/>
      </c>
      <c r="U105" s="5" t="n"/>
    </row>
    <row r="106" ht="18" customHeight="1">
      <c r="A106" s="3" t="n">
        <v>46158</v>
      </c>
      <c r="B106" s="4">
        <f>IF($A106="","",CHOOSE(MONTH($A106),"Janeiro","Fevereiro","Março","Abril","Maio","Junho","Julho","Agosto","Setembro","Outubro","Novembro","Dezembro"))</f>
        <v/>
      </c>
      <c r="C106" s="4">
        <f>IF($A106="","",CHOOSE(WEEKDAY($A106),"Domingo","Segunda-feira","Terça-feira","Quarta-feira","Quinta-feira","Sexta-feira","Sábado"))</f>
        <v/>
      </c>
      <c r="D106" s="5" t="n"/>
      <c r="E106" s="6">
        <f>IFERROR(INDEX(Consolidado_Mensal!$B$2:$B$12,MATCH($B106,Consolidado_Mensal!$A$2:$A$12,0)),"")</f>
        <v/>
      </c>
      <c r="F106" s="7">
        <f>IF($E106="","",SUMIFS($D$2:$D106,$B$2:$B106,$B106)/$E106)</f>
        <v/>
      </c>
      <c r="G106" s="6">
        <f>IF($E106="","",MAX(0,$E106-SUMIFS($D$2:$D106,$B$2:$B106,$B106)))</f>
        <v/>
      </c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6">
        <f>IF($D106="","",IF(AND($D106=0,SUM($H106:$S106)=0),"OK",IF(SUM($H106:$S106)=0,"Sem detalhe",IF(AND(OR(SUM($H106:$I106)=$D106,SUM($H106:$I106)=0),OR(SUM($J106:$K106)=$D106,SUM($J106:$K106)=0),OR(SUM($L106:$S106)=$D106,SUM($L106:$S106)=0)),"OK","Verificar: "&amp;IF(AND(SUM($H106:$I106)&lt;&gt;$D106,SUM($H106:$I106)&lt;&gt;0),"perfil ","")&amp;IF(AND(SUM($J106:$K106)&lt;&gt;$D106,SUM($J106:$K106)&lt;&gt;0),"gênero ","")&amp;IF(AND(SUM($L106:$S106)&lt;&gt;$D106,SUM($L106:$S106)&lt;&gt;0),"professor","")))))</f>
        <v/>
      </c>
      <c r="U106" s="5" t="n"/>
    </row>
    <row r="107" ht="18" customHeight="1">
      <c r="A107" s="3" t="n">
        <v>46159</v>
      </c>
      <c r="B107" s="4">
        <f>IF($A107="","",CHOOSE(MONTH($A107),"Janeiro","Fevereiro","Março","Abril","Maio","Junho","Julho","Agosto","Setembro","Outubro","Novembro","Dezembro"))</f>
        <v/>
      </c>
      <c r="C107" s="4">
        <f>IF($A107="","",CHOOSE(WEEKDAY($A107),"Domingo","Segunda-feira","Terça-feira","Quarta-feira","Quinta-feira","Sexta-feira","Sábado"))</f>
        <v/>
      </c>
      <c r="D107" s="5" t="n"/>
      <c r="E107" s="6">
        <f>IFERROR(INDEX(Consolidado_Mensal!$B$2:$B$12,MATCH($B107,Consolidado_Mensal!$A$2:$A$12,0)),"")</f>
        <v/>
      </c>
      <c r="F107" s="7">
        <f>IF($E107="","",SUMIFS($D$2:$D107,$B$2:$B107,$B107)/$E107)</f>
        <v/>
      </c>
      <c r="G107" s="6">
        <f>IF($E107="","",MAX(0,$E107-SUMIFS($D$2:$D107,$B$2:$B107,$B107)))</f>
        <v/>
      </c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6">
        <f>IF($D107="","",IF(AND($D107=0,SUM($H107:$S107)=0),"OK",IF(SUM($H107:$S107)=0,"Sem detalhe",IF(AND(OR(SUM($H107:$I107)=$D107,SUM($H107:$I107)=0),OR(SUM($J107:$K107)=$D107,SUM($J107:$K107)=0),OR(SUM($L107:$S107)=$D107,SUM($L107:$S107)=0)),"OK","Verificar: "&amp;IF(AND(SUM($H107:$I107)&lt;&gt;$D107,SUM($H107:$I107)&lt;&gt;0),"perfil ","")&amp;IF(AND(SUM($J107:$K107)&lt;&gt;$D107,SUM($J107:$K107)&lt;&gt;0),"gênero ","")&amp;IF(AND(SUM($L107:$S107)&lt;&gt;$D107,SUM($L107:$S107)&lt;&gt;0),"professor","")))))</f>
        <v/>
      </c>
      <c r="U107" s="5" t="n"/>
    </row>
    <row r="108" ht="18" customHeight="1">
      <c r="A108" s="3" t="n">
        <v>46160</v>
      </c>
      <c r="B108" s="4">
        <f>IF($A108="","",CHOOSE(MONTH($A108),"Janeiro","Fevereiro","Março","Abril","Maio","Junho","Julho","Agosto","Setembro","Outubro","Novembro","Dezembro"))</f>
        <v/>
      </c>
      <c r="C108" s="4">
        <f>IF($A108="","",CHOOSE(WEEKDAY($A108),"Domingo","Segunda-feira","Terça-feira","Quarta-feira","Quinta-feira","Sexta-feira","Sábado"))</f>
        <v/>
      </c>
      <c r="D108" s="5" t="n">
        <v>2</v>
      </c>
      <c r="E108" s="6">
        <f>IFERROR(INDEX(Consolidado_Mensal!$B$2:$B$12,MATCH($B108,Consolidado_Mensal!$A$2:$A$12,0)),"")</f>
        <v/>
      </c>
      <c r="F108" s="7">
        <f>IF($E108="","",SUMIFS($D$2:$D108,$B$2:$B108,$B108)/$E108)</f>
        <v/>
      </c>
      <c r="G108" s="6">
        <f>IF($E108="","",MAX(0,$E108-SUMIFS($D$2:$D108,$B$2:$B108,$B108)))</f>
        <v/>
      </c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6">
        <f>IF($D108="","",IF(AND($D108=0,SUM($H108:$S108)=0),"OK",IF(SUM($H108:$S108)=0,"Sem detalhe",IF(AND(OR(SUM($H108:$I108)=$D108,SUM($H108:$I108)=0),OR(SUM($J108:$K108)=$D108,SUM($J108:$K108)=0),OR(SUM($L108:$S108)=$D108,SUM($L108:$S108)=0)),"OK","Verificar: "&amp;IF(AND(SUM($H108:$I108)&lt;&gt;$D108,SUM($H108:$I108)&lt;&gt;0),"perfil ","")&amp;IF(AND(SUM($J108:$K108)&lt;&gt;$D108,SUM($J108:$K108)&lt;&gt;0),"gênero ","")&amp;IF(AND(SUM($L108:$S108)&lt;&gt;$D108,SUM($L108:$S108)&lt;&gt;0),"professor","")))))</f>
        <v/>
      </c>
      <c r="U108" s="5" t="n"/>
    </row>
    <row r="109" ht="18" customHeight="1">
      <c r="A109" s="3" t="n">
        <v>46161</v>
      </c>
      <c r="B109" s="4">
        <f>IF($A109="","",CHOOSE(MONTH($A109),"Janeiro","Fevereiro","Março","Abril","Maio","Junho","Julho","Agosto","Setembro","Outubro","Novembro","Dezembro"))</f>
        <v/>
      </c>
      <c r="C109" s="4">
        <f>IF($A109="","",CHOOSE(WEEKDAY($A109),"Domingo","Segunda-feira","Terça-feira","Quarta-feira","Quinta-feira","Sexta-feira","Sábado"))</f>
        <v/>
      </c>
      <c r="D109" s="5" t="n">
        <v>4</v>
      </c>
      <c r="E109" s="6">
        <f>IFERROR(INDEX(Consolidado_Mensal!$B$2:$B$12,MATCH($B109,Consolidado_Mensal!$A$2:$A$12,0)),"")</f>
        <v/>
      </c>
      <c r="F109" s="7">
        <f>IF($E109="","",SUMIFS($D$2:$D109,$B$2:$B109,$B109)/$E109)</f>
        <v/>
      </c>
      <c r="G109" s="6">
        <f>IF($E109="","",MAX(0,$E109-SUMIFS($D$2:$D109,$B$2:$B109,$B109)))</f>
        <v/>
      </c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6">
        <f>IF($D109="","",IF(AND($D109=0,SUM($H109:$S109)=0),"OK",IF(SUM($H109:$S109)=0,"Sem detalhe",IF(AND(OR(SUM($H109:$I109)=$D109,SUM($H109:$I109)=0),OR(SUM($J109:$K109)=$D109,SUM($J109:$K109)=0),OR(SUM($L109:$S109)=$D109,SUM($L109:$S109)=0)),"OK","Verificar: "&amp;IF(AND(SUM($H109:$I109)&lt;&gt;$D109,SUM($H109:$I109)&lt;&gt;0),"perfil ","")&amp;IF(AND(SUM($J109:$K109)&lt;&gt;$D109,SUM($J109:$K109)&lt;&gt;0),"gênero ","")&amp;IF(AND(SUM($L109:$S109)&lt;&gt;$D109,SUM($L109:$S109)&lt;&gt;0),"professor","")))))</f>
        <v/>
      </c>
      <c r="U109" s="5" t="n"/>
    </row>
    <row r="110" ht="18" customHeight="1">
      <c r="A110" s="3" t="n">
        <v>46162</v>
      </c>
      <c r="B110" s="4">
        <f>IF($A110="","",CHOOSE(MONTH($A110),"Janeiro","Fevereiro","Março","Abril","Maio","Junho","Julho","Agosto","Setembro","Outubro","Novembro","Dezembro"))</f>
        <v/>
      </c>
      <c r="C110" s="4">
        <f>IF($A110="","",CHOOSE(WEEKDAY($A110),"Domingo","Segunda-feira","Terça-feira","Quarta-feira","Quinta-feira","Sexta-feira","Sábado"))</f>
        <v/>
      </c>
      <c r="D110" s="5" t="n">
        <v>2</v>
      </c>
      <c r="E110" s="6">
        <f>IFERROR(INDEX(Consolidado_Mensal!$B$2:$B$12,MATCH($B110,Consolidado_Mensal!$A$2:$A$12,0)),"")</f>
        <v/>
      </c>
      <c r="F110" s="7">
        <f>IF($E110="","",SUMIFS($D$2:$D110,$B$2:$B110,$B110)/$E110)</f>
        <v/>
      </c>
      <c r="G110" s="6">
        <f>IF($E110="","",MAX(0,$E110-SUMIFS($D$2:$D110,$B$2:$B110,$B110)))</f>
        <v/>
      </c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6">
        <f>IF($D110="","",IF(AND($D110=0,SUM($H110:$S110)=0),"OK",IF(SUM($H110:$S110)=0,"Sem detalhe",IF(AND(OR(SUM($H110:$I110)=$D110,SUM($H110:$I110)=0),OR(SUM($J110:$K110)=$D110,SUM($J110:$K110)=0),OR(SUM($L110:$S110)=$D110,SUM($L110:$S110)=0)),"OK","Verificar: "&amp;IF(AND(SUM($H110:$I110)&lt;&gt;$D110,SUM($H110:$I110)&lt;&gt;0),"perfil ","")&amp;IF(AND(SUM($J110:$K110)&lt;&gt;$D110,SUM($J110:$K110)&lt;&gt;0),"gênero ","")&amp;IF(AND(SUM($L110:$S110)&lt;&gt;$D110,SUM($L110:$S110)&lt;&gt;0),"professor","")))))</f>
        <v/>
      </c>
      <c r="U110" s="5" t="n"/>
    </row>
    <row r="111" ht="18" customHeight="1">
      <c r="A111" s="3" t="n">
        <v>46163</v>
      </c>
      <c r="B111" s="4">
        <f>IF($A111="","",CHOOSE(MONTH($A111),"Janeiro","Fevereiro","Março","Abril","Maio","Junho","Julho","Agosto","Setembro","Outubro","Novembro","Dezembro"))</f>
        <v/>
      </c>
      <c r="C111" s="4">
        <f>IF($A111="","",CHOOSE(WEEKDAY($A111),"Domingo","Segunda-feira","Terça-feira","Quarta-feira","Quinta-feira","Sexta-feira","Sábado"))</f>
        <v/>
      </c>
      <c r="D111" s="5" t="n">
        <v>2</v>
      </c>
      <c r="E111" s="6">
        <f>IFERROR(INDEX(Consolidado_Mensal!$B$2:$B$12,MATCH($B111,Consolidado_Mensal!$A$2:$A$12,0)),"")</f>
        <v/>
      </c>
      <c r="F111" s="7">
        <f>IF($E111="","",SUMIFS($D$2:$D111,$B$2:$B111,$B111)/$E111)</f>
        <v/>
      </c>
      <c r="G111" s="6">
        <f>IF($E111="","",MAX(0,$E111-SUMIFS($D$2:$D111,$B$2:$B111,$B111)))</f>
        <v/>
      </c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6">
        <f>IF($D111="","",IF(AND($D111=0,SUM($H111:$S111)=0),"OK",IF(SUM($H111:$S111)=0,"Sem detalhe",IF(AND(OR(SUM($H111:$I111)=$D111,SUM($H111:$I111)=0),OR(SUM($J111:$K111)=$D111,SUM($J111:$K111)=0),OR(SUM($L111:$S111)=$D111,SUM($L111:$S111)=0)),"OK","Verificar: "&amp;IF(AND(SUM($H111:$I111)&lt;&gt;$D111,SUM($H111:$I111)&lt;&gt;0),"perfil ","")&amp;IF(AND(SUM($J111:$K111)&lt;&gt;$D111,SUM($J111:$K111)&lt;&gt;0),"gênero ","")&amp;IF(AND(SUM($L111:$S111)&lt;&gt;$D111,SUM($L111:$S111)&lt;&gt;0),"professor","")))))</f>
        <v/>
      </c>
      <c r="U111" s="5" t="n"/>
    </row>
    <row r="112" ht="18" customHeight="1">
      <c r="A112" s="3" t="n">
        <v>46164</v>
      </c>
      <c r="B112" s="4">
        <f>IF($A112="","",CHOOSE(MONTH($A112),"Janeiro","Fevereiro","Março","Abril","Maio","Junho","Julho","Agosto","Setembro","Outubro","Novembro","Dezembro"))</f>
        <v/>
      </c>
      <c r="C112" s="4">
        <f>IF($A112="","",CHOOSE(WEEKDAY($A112),"Domingo","Segunda-feira","Terça-feira","Quarta-feira","Quinta-feira","Sexta-feira","Sábado"))</f>
        <v/>
      </c>
      <c r="D112" s="5" t="n"/>
      <c r="E112" s="6">
        <f>IFERROR(INDEX(Consolidado_Mensal!$B$2:$B$12,MATCH($B112,Consolidado_Mensal!$A$2:$A$12,0)),"")</f>
        <v/>
      </c>
      <c r="F112" s="7">
        <f>IF($E112="","",SUMIFS($D$2:$D112,$B$2:$B112,$B112)/$E112)</f>
        <v/>
      </c>
      <c r="G112" s="6">
        <f>IF($E112="","",MAX(0,$E112-SUMIFS($D$2:$D112,$B$2:$B112,$B112)))</f>
        <v/>
      </c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6">
        <f>IF($D112="","",IF(AND($D112=0,SUM($H112:$S112)=0),"OK",IF(SUM($H112:$S112)=0,"Sem detalhe",IF(AND(OR(SUM($H112:$I112)=$D112,SUM($H112:$I112)=0),OR(SUM($J112:$K112)=$D112,SUM($J112:$K112)=0),OR(SUM($L112:$S112)=$D112,SUM($L112:$S112)=0)),"OK","Verificar: "&amp;IF(AND(SUM($H112:$I112)&lt;&gt;$D112,SUM($H112:$I112)&lt;&gt;0),"perfil ","")&amp;IF(AND(SUM($J112:$K112)&lt;&gt;$D112,SUM($J112:$K112)&lt;&gt;0),"gênero ","")&amp;IF(AND(SUM($L112:$S112)&lt;&gt;$D112,SUM($L112:$S112)&lt;&gt;0),"professor","")))))</f>
        <v/>
      </c>
      <c r="U112" s="5" t="n"/>
    </row>
    <row r="113" ht="18" customHeight="1">
      <c r="A113" s="3" t="n">
        <v>46165</v>
      </c>
      <c r="B113" s="4">
        <f>IF($A113="","",CHOOSE(MONTH($A113),"Janeiro","Fevereiro","Março","Abril","Maio","Junho","Julho","Agosto","Setembro","Outubro","Novembro","Dezembro"))</f>
        <v/>
      </c>
      <c r="C113" s="4">
        <f>IF($A113="","",CHOOSE(WEEKDAY($A113),"Domingo","Segunda-feira","Terça-feira","Quarta-feira","Quinta-feira","Sexta-feira","Sábado"))</f>
        <v/>
      </c>
      <c r="D113" s="5" t="n"/>
      <c r="E113" s="6">
        <f>IFERROR(INDEX(Consolidado_Mensal!$B$2:$B$12,MATCH($B113,Consolidado_Mensal!$A$2:$A$12,0)),"")</f>
        <v/>
      </c>
      <c r="F113" s="7">
        <f>IF($E113="","",SUMIFS($D$2:$D113,$B$2:$B113,$B113)/$E113)</f>
        <v/>
      </c>
      <c r="G113" s="6">
        <f>IF($E113="","",MAX(0,$E113-SUMIFS($D$2:$D113,$B$2:$B113,$B113)))</f>
        <v/>
      </c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6">
        <f>IF($D113="","",IF(AND($D113=0,SUM($H113:$S113)=0),"OK",IF(SUM($H113:$S113)=0,"Sem detalhe",IF(AND(OR(SUM($H113:$I113)=$D113,SUM($H113:$I113)=0),OR(SUM($J113:$K113)=$D113,SUM($J113:$K113)=0),OR(SUM($L113:$S113)=$D113,SUM($L113:$S113)=0)),"OK","Verificar: "&amp;IF(AND(SUM($H113:$I113)&lt;&gt;$D113,SUM($H113:$I113)&lt;&gt;0),"perfil ","")&amp;IF(AND(SUM($J113:$K113)&lt;&gt;$D113,SUM($J113:$K113)&lt;&gt;0),"gênero ","")&amp;IF(AND(SUM($L113:$S113)&lt;&gt;$D113,SUM($L113:$S113)&lt;&gt;0),"professor","")))))</f>
        <v/>
      </c>
      <c r="U113" s="5" t="n"/>
    </row>
    <row r="114" ht="18" customHeight="1">
      <c r="A114" s="3" t="n">
        <v>46166</v>
      </c>
      <c r="B114" s="4">
        <f>IF($A114="","",CHOOSE(MONTH($A114),"Janeiro","Fevereiro","Março","Abril","Maio","Junho","Julho","Agosto","Setembro","Outubro","Novembro","Dezembro"))</f>
        <v/>
      </c>
      <c r="C114" s="4">
        <f>IF($A114="","",CHOOSE(WEEKDAY($A114),"Domingo","Segunda-feira","Terça-feira","Quarta-feira","Quinta-feira","Sexta-feira","Sábado"))</f>
        <v/>
      </c>
      <c r="D114" s="5" t="n"/>
      <c r="E114" s="6">
        <f>IFERROR(INDEX(Consolidado_Mensal!$B$2:$B$12,MATCH($B114,Consolidado_Mensal!$A$2:$A$12,0)),"")</f>
        <v/>
      </c>
      <c r="F114" s="7">
        <f>IF($E114="","",SUMIFS($D$2:$D114,$B$2:$B114,$B114)/$E114)</f>
        <v/>
      </c>
      <c r="G114" s="6">
        <f>IF($E114="","",MAX(0,$E114-SUMIFS($D$2:$D114,$B$2:$B114,$B114)))</f>
        <v/>
      </c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6">
        <f>IF($D114="","",IF(AND($D114=0,SUM($H114:$S114)=0),"OK",IF(SUM($H114:$S114)=0,"Sem detalhe",IF(AND(OR(SUM($H114:$I114)=$D114,SUM($H114:$I114)=0),OR(SUM($J114:$K114)=$D114,SUM($J114:$K114)=0),OR(SUM($L114:$S114)=$D114,SUM($L114:$S114)=0)),"OK","Verificar: "&amp;IF(AND(SUM($H114:$I114)&lt;&gt;$D114,SUM($H114:$I114)&lt;&gt;0),"perfil ","")&amp;IF(AND(SUM($J114:$K114)&lt;&gt;$D114,SUM($J114:$K114)&lt;&gt;0),"gênero ","")&amp;IF(AND(SUM($L114:$S114)&lt;&gt;$D114,SUM($L114:$S114)&lt;&gt;0),"professor","")))))</f>
        <v/>
      </c>
      <c r="U114" s="5" t="n"/>
    </row>
    <row r="115" ht="18" customHeight="1">
      <c r="A115" s="3" t="n">
        <v>46167</v>
      </c>
      <c r="B115" s="4">
        <f>IF($A115="","",CHOOSE(MONTH($A115),"Janeiro","Fevereiro","Março","Abril","Maio","Junho","Julho","Agosto","Setembro","Outubro","Novembro","Dezembro"))</f>
        <v/>
      </c>
      <c r="C115" s="4">
        <f>IF($A115="","",CHOOSE(WEEKDAY($A115),"Domingo","Segunda-feira","Terça-feira","Quarta-feira","Quinta-feira","Sexta-feira","Sábado"))</f>
        <v/>
      </c>
      <c r="D115" s="5" t="n">
        <v>2</v>
      </c>
      <c r="E115" s="6">
        <f>IFERROR(INDEX(Consolidado_Mensal!$B$2:$B$12,MATCH($B115,Consolidado_Mensal!$A$2:$A$12,0)),"")</f>
        <v/>
      </c>
      <c r="F115" s="7">
        <f>IF($E115="","",SUMIFS($D$2:$D115,$B$2:$B115,$B115)/$E115)</f>
        <v/>
      </c>
      <c r="G115" s="6">
        <f>IF($E115="","",MAX(0,$E115-SUMIFS($D$2:$D115,$B$2:$B115,$B115)))</f>
        <v/>
      </c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6">
        <f>IF($D115="","",IF(AND($D115=0,SUM($H115:$S115)=0),"OK",IF(SUM($H115:$S115)=0,"Sem detalhe",IF(AND(OR(SUM($H115:$I115)=$D115,SUM($H115:$I115)=0),OR(SUM($J115:$K115)=$D115,SUM($J115:$K115)=0),OR(SUM($L115:$S115)=$D115,SUM($L115:$S115)=0)),"OK","Verificar: "&amp;IF(AND(SUM($H115:$I115)&lt;&gt;$D115,SUM($H115:$I115)&lt;&gt;0),"perfil ","")&amp;IF(AND(SUM($J115:$K115)&lt;&gt;$D115,SUM($J115:$K115)&lt;&gt;0),"gênero ","")&amp;IF(AND(SUM($L115:$S115)&lt;&gt;$D115,SUM($L115:$S115)&lt;&gt;0),"professor","")))))</f>
        <v/>
      </c>
      <c r="U115" s="5" t="n"/>
    </row>
    <row r="116" ht="18" customHeight="1">
      <c r="A116" s="3" t="n">
        <v>46168</v>
      </c>
      <c r="B116" s="4">
        <f>IF($A116="","",CHOOSE(MONTH($A116),"Janeiro","Fevereiro","Março","Abril","Maio","Junho","Julho","Agosto","Setembro","Outubro","Novembro","Dezembro"))</f>
        <v/>
      </c>
      <c r="C116" s="4">
        <f>IF($A116="","",CHOOSE(WEEKDAY($A116),"Domingo","Segunda-feira","Terça-feira","Quarta-feira","Quinta-feira","Sexta-feira","Sábado"))</f>
        <v/>
      </c>
      <c r="D116" s="5" t="n">
        <v>3</v>
      </c>
      <c r="E116" s="6">
        <f>IFERROR(INDEX(Consolidado_Mensal!$B$2:$B$12,MATCH($B116,Consolidado_Mensal!$A$2:$A$12,0)),"")</f>
        <v/>
      </c>
      <c r="F116" s="7">
        <f>IF($E116="","",SUMIFS($D$2:$D116,$B$2:$B116,$B116)/$E116)</f>
        <v/>
      </c>
      <c r="G116" s="6">
        <f>IF($E116="","",MAX(0,$E116-SUMIFS($D$2:$D116,$B$2:$B116,$B116)))</f>
        <v/>
      </c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6">
        <f>IF($D116="","",IF(AND($D116=0,SUM($H116:$S116)=0),"OK",IF(SUM($H116:$S116)=0,"Sem detalhe",IF(AND(OR(SUM($H116:$I116)=$D116,SUM($H116:$I116)=0),OR(SUM($J116:$K116)=$D116,SUM($J116:$K116)=0),OR(SUM($L116:$S116)=$D116,SUM($L116:$S116)=0)),"OK","Verificar: "&amp;IF(AND(SUM($H116:$I116)&lt;&gt;$D116,SUM($H116:$I116)&lt;&gt;0),"perfil ","")&amp;IF(AND(SUM($J116:$K116)&lt;&gt;$D116,SUM($J116:$K116)&lt;&gt;0),"gênero ","")&amp;IF(AND(SUM($L116:$S116)&lt;&gt;$D116,SUM($L116:$S116)&lt;&gt;0),"professor","")))))</f>
        <v/>
      </c>
      <c r="U116" s="5" t="n"/>
    </row>
    <row r="117" ht="18" customHeight="1">
      <c r="A117" s="3" t="n">
        <v>46169</v>
      </c>
      <c r="B117" s="4">
        <f>IF($A117="","",CHOOSE(MONTH($A117),"Janeiro","Fevereiro","Março","Abril","Maio","Junho","Julho","Agosto","Setembro","Outubro","Novembro","Dezembro"))</f>
        <v/>
      </c>
      <c r="C117" s="4">
        <f>IF($A117="","",CHOOSE(WEEKDAY($A117),"Domingo","Segunda-feira","Terça-feira","Quarta-feira","Quinta-feira","Sexta-feira","Sábado"))</f>
        <v/>
      </c>
      <c r="D117" s="5" t="n">
        <v>1</v>
      </c>
      <c r="E117" s="6">
        <f>IFERROR(INDEX(Consolidado_Mensal!$B$2:$B$12,MATCH($B117,Consolidado_Mensal!$A$2:$A$12,0)),"")</f>
        <v/>
      </c>
      <c r="F117" s="7">
        <f>IF($E117="","",SUMIFS($D$2:$D117,$B$2:$B117,$B117)/$E117)</f>
        <v/>
      </c>
      <c r="G117" s="6">
        <f>IF($E117="","",MAX(0,$E117-SUMIFS($D$2:$D117,$B$2:$B117,$B117)))</f>
        <v/>
      </c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6">
        <f>IF($D117="","",IF(AND($D117=0,SUM($H117:$S117)=0),"OK",IF(SUM($H117:$S117)=0,"Sem detalhe",IF(AND(OR(SUM($H117:$I117)=$D117,SUM($H117:$I117)=0),OR(SUM($J117:$K117)=$D117,SUM($J117:$K117)=0),OR(SUM($L117:$S117)=$D117,SUM($L117:$S117)=0)),"OK","Verificar: "&amp;IF(AND(SUM($H117:$I117)&lt;&gt;$D117,SUM($H117:$I117)&lt;&gt;0),"perfil ","")&amp;IF(AND(SUM($J117:$K117)&lt;&gt;$D117,SUM($J117:$K117)&lt;&gt;0),"gênero ","")&amp;IF(AND(SUM($L117:$S117)&lt;&gt;$D117,SUM($L117:$S117)&lt;&gt;0),"professor","")))))</f>
        <v/>
      </c>
      <c r="U117" s="5" t="n"/>
    </row>
    <row r="118" ht="18" customHeight="1">
      <c r="A118" s="3" t="n">
        <v>46170</v>
      </c>
      <c r="B118" s="4">
        <f>IF($A118="","",CHOOSE(MONTH($A118),"Janeiro","Fevereiro","Março","Abril","Maio","Junho","Julho","Agosto","Setembro","Outubro","Novembro","Dezembro"))</f>
        <v/>
      </c>
      <c r="C118" s="4">
        <f>IF($A118="","",CHOOSE(WEEKDAY($A118),"Domingo","Segunda-feira","Terça-feira","Quarta-feira","Quinta-feira","Sexta-feira","Sábado"))</f>
        <v/>
      </c>
      <c r="D118" s="5" t="n">
        <v>1</v>
      </c>
      <c r="E118" s="6">
        <f>IFERROR(INDEX(Consolidado_Mensal!$B$2:$B$12,MATCH($B118,Consolidado_Mensal!$A$2:$A$12,0)),"")</f>
        <v/>
      </c>
      <c r="F118" s="7">
        <f>IF($E118="","",SUMIFS($D$2:$D118,$B$2:$B118,$B118)/$E118)</f>
        <v/>
      </c>
      <c r="G118" s="6">
        <f>IF($E118="","",MAX(0,$E118-SUMIFS($D$2:$D118,$B$2:$B118,$B118)))</f>
        <v/>
      </c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6">
        <f>IF($D118="","",IF(AND($D118=0,SUM($H118:$S118)=0),"OK",IF(SUM($H118:$S118)=0,"Sem detalhe",IF(AND(OR(SUM($H118:$I118)=$D118,SUM($H118:$I118)=0),OR(SUM($J118:$K118)=$D118,SUM($J118:$K118)=0),OR(SUM($L118:$S118)=$D118,SUM($L118:$S118)=0)),"OK","Verificar: "&amp;IF(AND(SUM($H118:$I118)&lt;&gt;$D118,SUM($H118:$I118)&lt;&gt;0),"perfil ","")&amp;IF(AND(SUM($J118:$K118)&lt;&gt;$D118,SUM($J118:$K118)&lt;&gt;0),"gênero ","")&amp;IF(AND(SUM($L118:$S118)&lt;&gt;$D118,SUM($L118:$S118)&lt;&gt;0),"professor","")))))</f>
        <v/>
      </c>
      <c r="U118" s="5" t="n"/>
    </row>
    <row r="119" ht="18" customHeight="1">
      <c r="A119" s="3" t="n">
        <v>46171</v>
      </c>
      <c r="B119" s="4">
        <f>IF($A119="","",CHOOSE(MONTH($A119),"Janeiro","Fevereiro","Março","Abril","Maio","Junho","Julho","Agosto","Setembro","Outubro","Novembro","Dezembro"))</f>
        <v/>
      </c>
      <c r="C119" s="4">
        <f>IF($A119="","",CHOOSE(WEEKDAY($A119),"Domingo","Segunda-feira","Terça-feira","Quarta-feira","Quinta-feira","Sexta-feira","Sábado"))</f>
        <v/>
      </c>
      <c r="D119" s="5" t="n">
        <v>2</v>
      </c>
      <c r="E119" s="6">
        <f>IFERROR(INDEX(Consolidado_Mensal!$B$2:$B$12,MATCH($B119,Consolidado_Mensal!$A$2:$A$12,0)),"")</f>
        <v/>
      </c>
      <c r="F119" s="7">
        <f>IF($E119="","",SUMIFS($D$2:$D119,$B$2:$B119,$B119)/$E119)</f>
        <v/>
      </c>
      <c r="G119" s="6">
        <f>IF($E119="","",MAX(0,$E119-SUMIFS($D$2:$D119,$B$2:$B119,$B119)))</f>
        <v/>
      </c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6">
        <f>IF($D119="","",IF(AND($D119=0,SUM($H119:$S119)=0),"OK",IF(SUM($H119:$S119)=0,"Sem detalhe",IF(AND(OR(SUM($H119:$I119)=$D119,SUM($H119:$I119)=0),OR(SUM($J119:$K119)=$D119,SUM($J119:$K119)=0),OR(SUM($L119:$S119)=$D119,SUM($L119:$S119)=0)),"OK","Verificar: "&amp;IF(AND(SUM($H119:$I119)&lt;&gt;$D119,SUM($H119:$I119)&lt;&gt;0),"perfil ","")&amp;IF(AND(SUM($J119:$K119)&lt;&gt;$D119,SUM($J119:$K119)&lt;&gt;0),"gênero ","")&amp;IF(AND(SUM($L119:$S119)&lt;&gt;$D119,SUM($L119:$S119)&lt;&gt;0),"professor","")))))</f>
        <v/>
      </c>
      <c r="U119" s="5" t="n"/>
    </row>
    <row r="120" ht="18" customHeight="1">
      <c r="A120" s="3" t="n">
        <v>46172</v>
      </c>
      <c r="B120" s="4">
        <f>IF($A120="","",CHOOSE(MONTH($A120),"Janeiro","Fevereiro","Março","Abril","Maio","Junho","Julho","Agosto","Setembro","Outubro","Novembro","Dezembro"))</f>
        <v/>
      </c>
      <c r="C120" s="4">
        <f>IF($A120="","",CHOOSE(WEEKDAY($A120),"Domingo","Segunda-feira","Terça-feira","Quarta-feira","Quinta-feira","Sexta-feira","Sábado"))</f>
        <v/>
      </c>
      <c r="D120" s="5" t="n"/>
      <c r="E120" s="6">
        <f>IFERROR(INDEX(Consolidado_Mensal!$B$2:$B$12,MATCH($B120,Consolidado_Mensal!$A$2:$A$12,0)),"")</f>
        <v/>
      </c>
      <c r="F120" s="7">
        <f>IF($E120="","",SUMIFS($D$2:$D120,$B$2:$B120,$B120)/$E120)</f>
        <v/>
      </c>
      <c r="G120" s="6">
        <f>IF($E120="","",MAX(0,$E120-SUMIFS($D$2:$D120,$B$2:$B120,$B120)))</f>
        <v/>
      </c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6">
        <f>IF($D120="","",IF(AND($D120=0,SUM($H120:$S120)=0),"OK",IF(SUM($H120:$S120)=0,"Sem detalhe",IF(AND(OR(SUM($H120:$I120)=$D120,SUM($H120:$I120)=0),OR(SUM($J120:$K120)=$D120,SUM($J120:$K120)=0),OR(SUM($L120:$S120)=$D120,SUM($L120:$S120)=0)),"OK","Verificar: "&amp;IF(AND(SUM($H120:$I120)&lt;&gt;$D120,SUM($H120:$I120)&lt;&gt;0),"perfil ","")&amp;IF(AND(SUM($J120:$K120)&lt;&gt;$D120,SUM($J120:$K120)&lt;&gt;0),"gênero ","")&amp;IF(AND(SUM($L120:$S120)&lt;&gt;$D120,SUM($L120:$S120)&lt;&gt;0),"professor","")))))</f>
        <v/>
      </c>
      <c r="U120" s="5" t="n"/>
    </row>
    <row r="121" ht="18" customHeight="1">
      <c r="A121" s="3" t="n">
        <v>46173</v>
      </c>
      <c r="B121" s="4">
        <f>IF($A121="","",CHOOSE(MONTH($A121),"Janeiro","Fevereiro","Março","Abril","Maio","Junho","Julho","Agosto","Setembro","Outubro","Novembro","Dezembro"))</f>
        <v/>
      </c>
      <c r="C121" s="4">
        <f>IF($A121="","",CHOOSE(WEEKDAY($A121),"Domingo","Segunda-feira","Terça-feira","Quarta-feira","Quinta-feira","Sexta-feira","Sábado"))</f>
        <v/>
      </c>
      <c r="D121" s="5" t="n"/>
      <c r="E121" s="6">
        <f>IFERROR(INDEX(Consolidado_Mensal!$B$2:$B$12,MATCH($B121,Consolidado_Mensal!$A$2:$A$12,0)),"")</f>
        <v/>
      </c>
      <c r="F121" s="7">
        <f>IF($E121="","",SUMIFS($D$2:$D121,$B$2:$B121,$B121)/$E121)</f>
        <v/>
      </c>
      <c r="G121" s="6">
        <f>IF($E121="","",MAX(0,$E121-SUMIFS($D$2:$D121,$B$2:$B121,$B121)))</f>
        <v/>
      </c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6">
        <f>IF($D121="","",IF(AND($D121=0,SUM($H121:$S121)=0),"OK",IF(SUM($H121:$S121)=0,"Sem detalhe",IF(AND(OR(SUM($H121:$I121)=$D121,SUM($H121:$I121)=0),OR(SUM($J121:$K121)=$D121,SUM($J121:$K121)=0),OR(SUM($L121:$S121)=$D121,SUM($L121:$S121)=0)),"OK","Verificar: "&amp;IF(AND(SUM($H121:$I121)&lt;&gt;$D121,SUM($H121:$I121)&lt;&gt;0),"perfil ","")&amp;IF(AND(SUM($J121:$K121)&lt;&gt;$D121,SUM($J121:$K121)&lt;&gt;0),"gênero ","")&amp;IF(AND(SUM($L121:$S121)&lt;&gt;$D121,SUM($L121:$S121)&lt;&gt;0),"professor","")))))</f>
        <v/>
      </c>
      <c r="U121" s="5" t="n"/>
    </row>
    <row r="122" ht="18" customHeight="1">
      <c r="A122" s="3" t="n">
        <v>46174</v>
      </c>
      <c r="B122" s="4">
        <f>IF($A122="","",CHOOSE(MONTH($A122),"Janeiro","Fevereiro","Março","Abril","Maio","Junho","Julho","Agosto","Setembro","Outubro","Novembro","Dezembro"))</f>
        <v/>
      </c>
      <c r="C122" s="4">
        <f>IF($A122="","",CHOOSE(WEEKDAY($A122),"Domingo","Segunda-feira","Terça-feira","Quarta-feira","Quinta-feira","Sexta-feira","Sábado"))</f>
        <v/>
      </c>
      <c r="D122" s="5" t="n">
        <v>1</v>
      </c>
      <c r="E122" s="6">
        <f>IFERROR(INDEX(Consolidado_Mensal!$B$2:$B$12,MATCH($B122,Consolidado_Mensal!$A$2:$A$12,0)),"")</f>
        <v/>
      </c>
      <c r="F122" s="7">
        <f>IF($E122="","",SUMIFS($D$2:$D122,$B$2:$B122,$B122)/$E122)</f>
        <v/>
      </c>
      <c r="G122" s="6">
        <f>IF($E122="","",MAX(0,$E122-SUMIFS($D$2:$D122,$B$2:$B122,$B122)))</f>
        <v/>
      </c>
      <c r="H122" s="5" t="n">
        <v>1</v>
      </c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6">
        <f>IF($D122="","",IF(AND($D122=0,SUM($H122:$S122)=0),"OK",IF(SUM($H122:$S122)=0,"Sem detalhe",IF(AND(OR(SUM($H122:$I122)=$D122,SUM($H122:$I122)=0),OR(SUM($J122:$K122)=$D122,SUM($J122:$K122)=0),OR(SUM($L122:$S122)=$D122,SUM($L122:$S122)=0)),"OK","Verificar: "&amp;IF(AND(SUM($H122:$I122)&lt;&gt;$D122,SUM($H122:$I122)&lt;&gt;0),"perfil ","")&amp;IF(AND(SUM($J122:$K122)&lt;&gt;$D122,SUM($J122:$K122)&lt;&gt;0),"gênero ","")&amp;IF(AND(SUM($L122:$S122)&lt;&gt;$D122,SUM($L122:$S122)&lt;&gt;0),"professor","")))))</f>
        <v/>
      </c>
      <c r="U122" s="5" t="n"/>
    </row>
    <row r="123" ht="18" customHeight="1">
      <c r="A123" s="3" t="n">
        <v>46175</v>
      </c>
      <c r="B123" s="4">
        <f>IF($A123="","",CHOOSE(MONTH($A123),"Janeiro","Fevereiro","Março","Abril","Maio","Junho","Julho","Agosto","Setembro","Outubro","Novembro","Dezembro"))</f>
        <v/>
      </c>
      <c r="C123" s="4">
        <f>IF($A123="","",CHOOSE(WEEKDAY($A123),"Domingo","Segunda-feira","Terça-feira","Quarta-feira","Quinta-feira","Sexta-feira","Sábado"))</f>
        <v/>
      </c>
      <c r="D123" s="5" t="n">
        <v>2</v>
      </c>
      <c r="E123" s="6">
        <f>IFERROR(INDEX(Consolidado_Mensal!$B$2:$B$12,MATCH($B123,Consolidado_Mensal!$A$2:$A$12,0)),"")</f>
        <v/>
      </c>
      <c r="F123" s="7">
        <f>IF($E123="","",SUMIFS($D$2:$D123,$B$2:$B123,$B123)/$E123)</f>
        <v/>
      </c>
      <c r="G123" s="6">
        <f>IF($E123="","",MAX(0,$E123-SUMIFS($D$2:$D123,$B$2:$B123,$B123)))</f>
        <v/>
      </c>
      <c r="H123" s="5" t="n">
        <v>2</v>
      </c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6">
        <f>IF($D123="","",IF(AND($D123=0,SUM($H123:$S123)=0),"OK",IF(SUM($H123:$S123)=0,"Sem detalhe",IF(AND(OR(SUM($H123:$I123)=$D123,SUM($H123:$I123)=0),OR(SUM($J123:$K123)=$D123,SUM($J123:$K123)=0),OR(SUM($L123:$S123)=$D123,SUM($L123:$S123)=0)),"OK","Verificar: "&amp;IF(AND(SUM($H123:$I123)&lt;&gt;$D123,SUM($H123:$I123)&lt;&gt;0),"perfil ","")&amp;IF(AND(SUM($J123:$K123)&lt;&gt;$D123,SUM($J123:$K123)&lt;&gt;0),"gênero ","")&amp;IF(AND(SUM($L123:$S123)&lt;&gt;$D123,SUM($L123:$S123)&lt;&gt;0),"professor","")))))</f>
        <v/>
      </c>
      <c r="U123" s="5" t="n"/>
    </row>
    <row r="124" ht="18" customHeight="1">
      <c r="A124" s="3" t="n">
        <v>46176</v>
      </c>
      <c r="B124" s="4">
        <f>IF($A124="","",CHOOSE(MONTH($A124),"Janeiro","Fevereiro","Março","Abril","Maio","Junho","Julho","Agosto","Setembro","Outubro","Novembro","Dezembro"))</f>
        <v/>
      </c>
      <c r="C124" s="4">
        <f>IF($A124="","",CHOOSE(WEEKDAY($A124),"Domingo","Segunda-feira","Terça-feira","Quarta-feira","Quinta-feira","Sexta-feira","Sábado"))</f>
        <v/>
      </c>
      <c r="D124" s="5" t="n">
        <v>1</v>
      </c>
      <c r="E124" s="6">
        <f>IFERROR(INDEX(Consolidado_Mensal!$B$2:$B$12,MATCH($B124,Consolidado_Mensal!$A$2:$A$12,0)),"")</f>
        <v/>
      </c>
      <c r="F124" s="7">
        <f>IF($E124="","",SUMIFS($D$2:$D124,$B$2:$B124,$B124)/$E124)</f>
        <v/>
      </c>
      <c r="G124" s="6">
        <f>IF($E124="","",MAX(0,$E124-SUMIFS($D$2:$D124,$B$2:$B124,$B124)))</f>
        <v/>
      </c>
      <c r="H124" s="5" t="n"/>
      <c r="I124" s="5" t="n">
        <v>1</v>
      </c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6">
        <f>IF($D124="","",IF(AND($D124=0,SUM($H124:$S124)=0),"OK",IF(SUM($H124:$S124)=0,"Sem detalhe",IF(AND(OR(SUM($H124:$I124)=$D124,SUM($H124:$I124)=0),OR(SUM($J124:$K124)=$D124,SUM($J124:$K124)=0),OR(SUM($L124:$S124)=$D124,SUM($L124:$S124)=0)),"OK","Verificar: "&amp;IF(AND(SUM($H124:$I124)&lt;&gt;$D124,SUM($H124:$I124)&lt;&gt;0),"perfil ","")&amp;IF(AND(SUM($J124:$K124)&lt;&gt;$D124,SUM($J124:$K124)&lt;&gt;0),"gênero ","")&amp;IF(AND(SUM($L124:$S124)&lt;&gt;$D124,SUM($L124:$S124)&lt;&gt;0),"professor","")))))</f>
        <v/>
      </c>
      <c r="U124" s="5" t="n"/>
    </row>
    <row r="125" ht="18" customHeight="1">
      <c r="A125" s="3" t="n">
        <v>46177</v>
      </c>
      <c r="B125" s="4">
        <f>IF($A125="","",CHOOSE(MONTH($A125),"Janeiro","Fevereiro","Março","Abril","Maio","Junho","Julho","Agosto","Setembro","Outubro","Novembro","Dezembro"))</f>
        <v/>
      </c>
      <c r="C125" s="4">
        <f>IF($A125="","",CHOOSE(WEEKDAY($A125),"Domingo","Segunda-feira","Terça-feira","Quarta-feira","Quinta-feira","Sexta-feira","Sábado"))</f>
        <v/>
      </c>
      <c r="D125" s="5" t="n"/>
      <c r="E125" s="6">
        <f>IFERROR(INDEX(Consolidado_Mensal!$B$2:$B$12,MATCH($B125,Consolidado_Mensal!$A$2:$A$12,0)),"")</f>
        <v/>
      </c>
      <c r="F125" s="7">
        <f>IF($E125="","",SUMIFS($D$2:$D125,$B$2:$B125,$B125)/$E125)</f>
        <v/>
      </c>
      <c r="G125" s="6">
        <f>IF($E125="","",MAX(0,$E125-SUMIFS($D$2:$D125,$B$2:$B125,$B125)))</f>
        <v/>
      </c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6">
        <f>IF($D125="","",IF(AND($D125=0,SUM($H125:$S125)=0),"OK",IF(SUM($H125:$S125)=0,"Sem detalhe",IF(AND(OR(SUM($H125:$I125)=$D125,SUM($H125:$I125)=0),OR(SUM($J125:$K125)=$D125,SUM($J125:$K125)=0),OR(SUM($L125:$S125)=$D125,SUM($L125:$S125)=0)),"OK","Verificar: "&amp;IF(AND(SUM($H125:$I125)&lt;&gt;$D125,SUM($H125:$I125)&lt;&gt;0),"perfil ","")&amp;IF(AND(SUM($J125:$K125)&lt;&gt;$D125,SUM($J125:$K125)&lt;&gt;0),"gênero ","")&amp;IF(AND(SUM($L125:$S125)&lt;&gt;$D125,SUM($L125:$S125)&lt;&gt;0),"professor","")))))</f>
        <v/>
      </c>
      <c r="U125" s="5" t="n"/>
    </row>
    <row r="126" ht="18" customHeight="1">
      <c r="A126" s="3" t="n">
        <v>46178</v>
      </c>
      <c r="B126" s="4">
        <f>IF($A126="","",CHOOSE(MONTH($A126),"Janeiro","Fevereiro","Março","Abril","Maio","Junho","Julho","Agosto","Setembro","Outubro","Novembro","Dezembro"))</f>
        <v/>
      </c>
      <c r="C126" s="4">
        <f>IF($A126="","",CHOOSE(WEEKDAY($A126),"Domingo","Segunda-feira","Terça-feira","Quarta-feira","Quinta-feira","Sexta-feira","Sábado"))</f>
        <v/>
      </c>
      <c r="D126" s="5" t="n">
        <v>2</v>
      </c>
      <c r="E126" s="6">
        <f>IFERROR(INDEX(Consolidado_Mensal!$B$2:$B$12,MATCH($B126,Consolidado_Mensal!$A$2:$A$12,0)),"")</f>
        <v/>
      </c>
      <c r="F126" s="7">
        <f>IF($E126="","",SUMIFS($D$2:$D126,$B$2:$B126,$B126)/$E126)</f>
        <v/>
      </c>
      <c r="G126" s="6">
        <f>IF($E126="","",MAX(0,$E126-SUMIFS($D$2:$D126,$B$2:$B126,$B126)))</f>
        <v/>
      </c>
      <c r="H126" s="5" t="n">
        <v>2</v>
      </c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6">
        <f>IF($D126="","",IF(AND($D126=0,SUM($H126:$S126)=0),"OK",IF(SUM($H126:$S126)=0,"Sem detalhe",IF(AND(OR(SUM($H126:$I126)=$D126,SUM($H126:$I126)=0),OR(SUM($J126:$K126)=$D126,SUM($J126:$K126)=0),OR(SUM($L126:$S126)=$D126,SUM($L126:$S126)=0)),"OK","Verificar: "&amp;IF(AND(SUM($H126:$I126)&lt;&gt;$D126,SUM($H126:$I126)&lt;&gt;0),"perfil ","")&amp;IF(AND(SUM($J126:$K126)&lt;&gt;$D126,SUM($J126:$K126)&lt;&gt;0),"gênero ","")&amp;IF(AND(SUM($L126:$S126)&lt;&gt;$D126,SUM($L126:$S126)&lt;&gt;0),"professor","")))))</f>
        <v/>
      </c>
      <c r="U126" s="5" t="n"/>
    </row>
    <row r="127" ht="18" customHeight="1">
      <c r="A127" s="3" t="n">
        <v>46179</v>
      </c>
      <c r="B127" s="4">
        <f>IF($A127="","",CHOOSE(MONTH($A127),"Janeiro","Fevereiro","Março","Abril","Maio","Junho","Julho","Agosto","Setembro","Outubro","Novembro","Dezembro"))</f>
        <v/>
      </c>
      <c r="C127" s="4">
        <f>IF($A127="","",CHOOSE(WEEKDAY($A127),"Domingo","Segunda-feira","Terça-feira","Quarta-feira","Quinta-feira","Sexta-feira","Sábado"))</f>
        <v/>
      </c>
      <c r="D127" s="5" t="n"/>
      <c r="E127" s="6">
        <f>IFERROR(INDEX(Consolidado_Mensal!$B$2:$B$12,MATCH($B127,Consolidado_Mensal!$A$2:$A$12,0)),"")</f>
        <v/>
      </c>
      <c r="F127" s="7">
        <f>IF($E127="","",SUMIFS($D$2:$D127,$B$2:$B127,$B127)/$E127)</f>
        <v/>
      </c>
      <c r="G127" s="6">
        <f>IF($E127="","",MAX(0,$E127-SUMIFS($D$2:$D127,$B$2:$B127,$B127)))</f>
        <v/>
      </c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6">
        <f>IF($D127="","",IF(AND($D127=0,SUM($H127:$S127)=0),"OK",IF(SUM($H127:$S127)=0,"Sem detalhe",IF(AND(OR(SUM($H127:$I127)=$D127,SUM($H127:$I127)=0),OR(SUM($J127:$K127)=$D127,SUM($J127:$K127)=0),OR(SUM($L127:$S127)=$D127,SUM($L127:$S127)=0)),"OK","Verificar: "&amp;IF(AND(SUM($H127:$I127)&lt;&gt;$D127,SUM($H127:$I127)&lt;&gt;0),"perfil ","")&amp;IF(AND(SUM($J127:$K127)&lt;&gt;$D127,SUM($J127:$K127)&lt;&gt;0),"gênero ","")&amp;IF(AND(SUM($L127:$S127)&lt;&gt;$D127,SUM($L127:$S127)&lt;&gt;0),"professor","")))))</f>
        <v/>
      </c>
      <c r="U127" s="5" t="n"/>
    </row>
    <row r="128" ht="18" customHeight="1">
      <c r="A128" s="3" t="n">
        <v>46180</v>
      </c>
      <c r="B128" s="4">
        <f>IF($A128="","",CHOOSE(MONTH($A128),"Janeiro","Fevereiro","Março","Abril","Maio","Junho","Julho","Agosto","Setembro","Outubro","Novembro","Dezembro"))</f>
        <v/>
      </c>
      <c r="C128" s="4">
        <f>IF($A128="","",CHOOSE(WEEKDAY($A128),"Domingo","Segunda-feira","Terça-feira","Quarta-feira","Quinta-feira","Sexta-feira","Sábado"))</f>
        <v/>
      </c>
      <c r="D128" s="5" t="n"/>
      <c r="E128" s="6">
        <f>IFERROR(INDEX(Consolidado_Mensal!$B$2:$B$12,MATCH($B128,Consolidado_Mensal!$A$2:$A$12,0)),"")</f>
        <v/>
      </c>
      <c r="F128" s="7">
        <f>IF($E128="","",SUMIFS($D$2:$D128,$B$2:$B128,$B128)/$E128)</f>
        <v/>
      </c>
      <c r="G128" s="6">
        <f>IF($E128="","",MAX(0,$E128-SUMIFS($D$2:$D128,$B$2:$B128,$B128)))</f>
        <v/>
      </c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6">
        <f>IF($D128="","",IF(AND($D128=0,SUM($H128:$S128)=0),"OK",IF(SUM($H128:$S128)=0,"Sem detalhe",IF(AND(OR(SUM($H128:$I128)=$D128,SUM($H128:$I128)=0),OR(SUM($J128:$K128)=$D128,SUM($J128:$K128)=0),OR(SUM($L128:$S128)=$D128,SUM($L128:$S128)=0)),"OK","Verificar: "&amp;IF(AND(SUM($H128:$I128)&lt;&gt;$D128,SUM($H128:$I128)&lt;&gt;0),"perfil ","")&amp;IF(AND(SUM($J128:$K128)&lt;&gt;$D128,SUM($J128:$K128)&lt;&gt;0),"gênero ","")&amp;IF(AND(SUM($L128:$S128)&lt;&gt;$D128,SUM($L128:$S128)&lt;&gt;0),"professor","")))))</f>
        <v/>
      </c>
      <c r="U128" s="5" t="n"/>
    </row>
    <row r="129" ht="18" customHeight="1">
      <c r="A129" s="3" t="n">
        <v>46181</v>
      </c>
      <c r="B129" s="4">
        <f>IF($A129="","",CHOOSE(MONTH($A129),"Janeiro","Fevereiro","Março","Abril","Maio","Junho","Julho","Agosto","Setembro","Outubro","Novembro","Dezembro"))</f>
        <v/>
      </c>
      <c r="C129" s="4">
        <f>IF($A129="","",CHOOSE(WEEKDAY($A129),"Domingo","Segunda-feira","Terça-feira","Quarta-feira","Quinta-feira","Sexta-feira","Sábado"))</f>
        <v/>
      </c>
      <c r="D129" s="5" t="n">
        <v>5</v>
      </c>
      <c r="E129" s="6">
        <f>IFERROR(INDEX(Consolidado_Mensal!$B$2:$B$12,MATCH($B129,Consolidado_Mensal!$A$2:$A$12,0)),"")</f>
        <v/>
      </c>
      <c r="F129" s="7">
        <f>IF($E129="","",SUMIFS($D$2:$D129,$B$2:$B129,$B129)/$E129)</f>
        <v/>
      </c>
      <c r="G129" s="6">
        <f>IF($E129="","",MAX(0,$E129-SUMIFS($D$2:$D129,$B$2:$B129,$B129)))</f>
        <v/>
      </c>
      <c r="H129" s="5" t="n">
        <v>4</v>
      </c>
      <c r="I129" s="5" t="n">
        <v>1</v>
      </c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6">
        <f>IF($D129="","",IF(AND($D129=0,SUM($H129:$S129)=0),"OK",IF(SUM($H129:$S129)=0,"Sem detalhe",IF(AND(OR(SUM($H129:$I129)=$D129,SUM($H129:$I129)=0),OR(SUM($J129:$K129)=$D129,SUM($J129:$K129)=0),OR(SUM($L129:$S129)=$D129,SUM($L129:$S129)=0)),"OK","Verificar: "&amp;IF(AND(SUM($H129:$I129)&lt;&gt;$D129,SUM($H129:$I129)&lt;&gt;0),"perfil ","")&amp;IF(AND(SUM($J129:$K129)&lt;&gt;$D129,SUM($J129:$K129)&lt;&gt;0),"gênero ","")&amp;IF(AND(SUM($L129:$S129)&lt;&gt;$D129,SUM($L129:$S129)&lt;&gt;0),"professor","")))))</f>
        <v/>
      </c>
      <c r="U129" s="5" t="n"/>
    </row>
    <row r="130" ht="18" customHeight="1">
      <c r="A130" s="3" t="n">
        <v>46182</v>
      </c>
      <c r="B130" s="4">
        <f>IF($A130="","",CHOOSE(MONTH($A130),"Janeiro","Fevereiro","Março","Abril","Maio","Junho","Julho","Agosto","Setembro","Outubro","Novembro","Dezembro"))</f>
        <v/>
      </c>
      <c r="C130" s="4">
        <f>IF($A130="","",CHOOSE(WEEKDAY($A130),"Domingo","Segunda-feira","Terça-feira","Quarta-feira","Quinta-feira","Sexta-feira","Sábado"))</f>
        <v/>
      </c>
      <c r="D130" s="5" t="n">
        <v>5</v>
      </c>
      <c r="E130" s="6">
        <f>IFERROR(INDEX(Consolidado_Mensal!$B$2:$B$12,MATCH($B130,Consolidado_Mensal!$A$2:$A$12,0)),"")</f>
        <v/>
      </c>
      <c r="F130" s="7">
        <f>IF($E130="","",SUMIFS($D$2:$D130,$B$2:$B130,$B130)/$E130)</f>
        <v/>
      </c>
      <c r="G130" s="6">
        <f>IF($E130="","",MAX(0,$E130-SUMIFS($D$2:$D130,$B$2:$B130,$B130)))</f>
        <v/>
      </c>
      <c r="H130" s="5" t="n">
        <v>3</v>
      </c>
      <c r="I130" s="5" t="n">
        <v>2</v>
      </c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6">
        <f>IF($D130="","",IF(AND($D130=0,SUM($H130:$S130)=0),"OK",IF(SUM($H130:$S130)=0,"Sem detalhe",IF(AND(OR(SUM($H130:$I130)=$D130,SUM($H130:$I130)=0),OR(SUM($J130:$K130)=$D130,SUM($J130:$K130)=0),OR(SUM($L130:$S130)=$D130,SUM($L130:$S130)=0)),"OK","Verificar: "&amp;IF(AND(SUM($H130:$I130)&lt;&gt;$D130,SUM($H130:$I130)&lt;&gt;0),"perfil ","")&amp;IF(AND(SUM($J130:$K130)&lt;&gt;$D130,SUM($J130:$K130)&lt;&gt;0),"gênero ","")&amp;IF(AND(SUM($L130:$S130)&lt;&gt;$D130,SUM($L130:$S130)&lt;&gt;0),"professor","")))))</f>
        <v/>
      </c>
      <c r="U130" s="5" t="n"/>
    </row>
    <row r="131" ht="18" customHeight="1">
      <c r="A131" s="3" t="n">
        <v>46183</v>
      </c>
      <c r="B131" s="4">
        <f>IF($A131="","",CHOOSE(MONTH($A131),"Janeiro","Fevereiro","Março","Abril","Maio","Junho","Julho","Agosto","Setembro","Outubro","Novembro","Dezembro"))</f>
        <v/>
      </c>
      <c r="C131" s="4">
        <f>IF($A131="","",CHOOSE(WEEKDAY($A131),"Domingo","Segunda-feira","Terça-feira","Quarta-feira","Quinta-feira","Sexta-feira","Sábado"))</f>
        <v/>
      </c>
      <c r="D131" s="5" t="n">
        <v>5</v>
      </c>
      <c r="E131" s="6">
        <f>IFERROR(INDEX(Consolidado_Mensal!$B$2:$B$12,MATCH($B131,Consolidado_Mensal!$A$2:$A$12,0)),"")</f>
        <v/>
      </c>
      <c r="F131" s="7">
        <f>IF($E131="","",SUMIFS($D$2:$D131,$B$2:$B131,$B131)/$E131)</f>
        <v/>
      </c>
      <c r="G131" s="6">
        <f>IF($E131="","",MAX(0,$E131-SUMIFS($D$2:$D131,$B$2:$B131,$B131)))</f>
        <v/>
      </c>
      <c r="H131" s="5" t="n">
        <v>2</v>
      </c>
      <c r="I131" s="5" t="n">
        <v>3</v>
      </c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6">
        <f>IF($D131="","",IF(AND($D131=0,SUM($H131:$S131)=0),"OK",IF(SUM($H131:$S131)=0,"Sem detalhe",IF(AND(OR(SUM($H131:$I131)=$D131,SUM($H131:$I131)=0),OR(SUM($J131:$K131)=$D131,SUM($J131:$K131)=0),OR(SUM($L131:$S131)=$D131,SUM($L131:$S131)=0)),"OK","Verificar: "&amp;IF(AND(SUM($H131:$I131)&lt;&gt;$D131,SUM($H131:$I131)&lt;&gt;0),"perfil ","")&amp;IF(AND(SUM($J131:$K131)&lt;&gt;$D131,SUM($J131:$K131)&lt;&gt;0),"gênero ","")&amp;IF(AND(SUM($L131:$S131)&lt;&gt;$D131,SUM($L131:$S131)&lt;&gt;0),"professor","")))))</f>
        <v/>
      </c>
      <c r="U131" s="5" t="n"/>
    </row>
    <row r="132" ht="18" customHeight="1">
      <c r="A132" s="3" t="n">
        <v>46184</v>
      </c>
      <c r="B132" s="4">
        <f>IF($A132="","",CHOOSE(MONTH($A132),"Janeiro","Fevereiro","Março","Abril","Maio","Junho","Julho","Agosto","Setembro","Outubro","Novembro","Dezembro"))</f>
        <v/>
      </c>
      <c r="C132" s="4">
        <f>IF($A132="","",CHOOSE(WEEKDAY($A132),"Domingo","Segunda-feira","Terça-feira","Quarta-feira","Quinta-feira","Sexta-feira","Sábado"))</f>
        <v/>
      </c>
      <c r="D132" s="5" t="n">
        <v>2</v>
      </c>
      <c r="E132" s="6">
        <f>IFERROR(INDEX(Consolidado_Mensal!$B$2:$B$12,MATCH($B132,Consolidado_Mensal!$A$2:$A$12,0)),"")</f>
        <v/>
      </c>
      <c r="F132" s="7">
        <f>IF($E132="","",SUMIFS($D$2:$D132,$B$2:$B132,$B132)/$E132)</f>
        <v/>
      </c>
      <c r="G132" s="6">
        <f>IF($E132="","",MAX(0,$E132-SUMIFS($D$2:$D132,$B$2:$B132,$B132)))</f>
        <v/>
      </c>
      <c r="H132" s="5" t="n"/>
      <c r="I132" s="5" t="n">
        <v>2</v>
      </c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6">
        <f>IF($D132="","",IF(AND($D132=0,SUM($H132:$S132)=0),"OK",IF(SUM($H132:$S132)=0,"Sem detalhe",IF(AND(OR(SUM($H132:$I132)=$D132,SUM($H132:$I132)=0),OR(SUM($J132:$K132)=$D132,SUM($J132:$K132)=0),OR(SUM($L132:$S132)=$D132,SUM($L132:$S132)=0)),"OK","Verificar: "&amp;IF(AND(SUM($H132:$I132)&lt;&gt;$D132,SUM($H132:$I132)&lt;&gt;0),"perfil ","")&amp;IF(AND(SUM($J132:$K132)&lt;&gt;$D132,SUM($J132:$K132)&lt;&gt;0),"gênero ","")&amp;IF(AND(SUM($L132:$S132)&lt;&gt;$D132,SUM($L132:$S132)&lt;&gt;0),"professor","")))))</f>
        <v/>
      </c>
      <c r="U132" s="5" t="n"/>
    </row>
    <row r="133" ht="18" customHeight="1">
      <c r="A133" s="3" t="n">
        <v>46185</v>
      </c>
      <c r="B133" s="4">
        <f>IF($A133="","",CHOOSE(MONTH($A133),"Janeiro","Fevereiro","Março","Abril","Maio","Junho","Julho","Agosto","Setembro","Outubro","Novembro","Dezembro"))</f>
        <v/>
      </c>
      <c r="C133" s="4">
        <f>IF($A133="","",CHOOSE(WEEKDAY($A133),"Domingo","Segunda-feira","Terça-feira","Quarta-feira","Quinta-feira","Sexta-feira","Sábado"))</f>
        <v/>
      </c>
      <c r="D133" s="5" t="n">
        <v>3</v>
      </c>
      <c r="E133" s="6">
        <f>IFERROR(INDEX(Consolidado_Mensal!$B$2:$B$12,MATCH($B133,Consolidado_Mensal!$A$2:$A$12,0)),"")</f>
        <v/>
      </c>
      <c r="F133" s="7">
        <f>IF($E133="","",SUMIFS($D$2:$D133,$B$2:$B133,$B133)/$E133)</f>
        <v/>
      </c>
      <c r="G133" s="6">
        <f>IF($E133="","",MAX(0,$E133-SUMIFS($D$2:$D133,$B$2:$B133,$B133)))</f>
        <v/>
      </c>
      <c r="H133" s="5" t="n">
        <v>3</v>
      </c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6">
        <f>IF($D133="","",IF(AND($D133=0,SUM($H133:$S133)=0),"OK",IF(SUM($H133:$S133)=0,"Sem detalhe",IF(AND(OR(SUM($H133:$I133)=$D133,SUM($H133:$I133)=0),OR(SUM($J133:$K133)=$D133,SUM($J133:$K133)=0),OR(SUM($L133:$S133)=$D133,SUM($L133:$S133)=0)),"OK","Verificar: "&amp;IF(AND(SUM($H133:$I133)&lt;&gt;$D133,SUM($H133:$I133)&lt;&gt;0),"perfil ","")&amp;IF(AND(SUM($J133:$K133)&lt;&gt;$D133,SUM($J133:$K133)&lt;&gt;0),"gênero ","")&amp;IF(AND(SUM($L133:$S133)&lt;&gt;$D133,SUM($L133:$S133)&lt;&gt;0),"professor","")))))</f>
        <v/>
      </c>
      <c r="U133" s="5" t="n"/>
    </row>
    <row r="134" ht="18" customHeight="1">
      <c r="A134" s="3" t="n">
        <v>46186</v>
      </c>
      <c r="B134" s="4">
        <f>IF($A134="","",CHOOSE(MONTH($A134),"Janeiro","Fevereiro","Março","Abril","Maio","Junho","Julho","Agosto","Setembro","Outubro","Novembro","Dezembro"))</f>
        <v/>
      </c>
      <c r="C134" s="4">
        <f>IF($A134="","",CHOOSE(WEEKDAY($A134),"Domingo","Segunda-feira","Terça-feira","Quarta-feira","Quinta-feira","Sexta-feira","Sábado"))</f>
        <v/>
      </c>
      <c r="D134" s="5" t="n"/>
      <c r="E134" s="6">
        <f>IFERROR(INDEX(Consolidado_Mensal!$B$2:$B$12,MATCH($B134,Consolidado_Mensal!$A$2:$A$12,0)),"")</f>
        <v/>
      </c>
      <c r="F134" s="7">
        <f>IF($E134="","",SUMIFS($D$2:$D134,$B$2:$B134,$B134)/$E134)</f>
        <v/>
      </c>
      <c r="G134" s="6">
        <f>IF($E134="","",MAX(0,$E134-SUMIFS($D$2:$D134,$B$2:$B134,$B134)))</f>
        <v/>
      </c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6">
        <f>IF($D134="","",IF(AND($D134=0,SUM($H134:$S134)=0),"OK",IF(SUM($H134:$S134)=0,"Sem detalhe",IF(AND(OR(SUM($H134:$I134)=$D134,SUM($H134:$I134)=0),OR(SUM($J134:$K134)=$D134,SUM($J134:$K134)=0),OR(SUM($L134:$S134)=$D134,SUM($L134:$S134)=0)),"OK","Verificar: "&amp;IF(AND(SUM($H134:$I134)&lt;&gt;$D134,SUM($H134:$I134)&lt;&gt;0),"perfil ","")&amp;IF(AND(SUM($J134:$K134)&lt;&gt;$D134,SUM($J134:$K134)&lt;&gt;0),"gênero ","")&amp;IF(AND(SUM($L134:$S134)&lt;&gt;$D134,SUM($L134:$S134)&lt;&gt;0),"professor","")))))</f>
        <v/>
      </c>
      <c r="U134" s="5" t="n"/>
    </row>
    <row r="135" ht="18" customHeight="1">
      <c r="A135" s="3" t="n">
        <v>46187</v>
      </c>
      <c r="B135" s="4">
        <f>IF($A135="","",CHOOSE(MONTH($A135),"Janeiro","Fevereiro","Março","Abril","Maio","Junho","Julho","Agosto","Setembro","Outubro","Novembro","Dezembro"))</f>
        <v/>
      </c>
      <c r="C135" s="4">
        <f>IF($A135="","",CHOOSE(WEEKDAY($A135),"Domingo","Segunda-feira","Terça-feira","Quarta-feira","Quinta-feira","Sexta-feira","Sábado"))</f>
        <v/>
      </c>
      <c r="D135" s="5" t="n"/>
      <c r="E135" s="6">
        <f>IFERROR(INDEX(Consolidado_Mensal!$B$2:$B$12,MATCH($B135,Consolidado_Mensal!$A$2:$A$12,0)),"")</f>
        <v/>
      </c>
      <c r="F135" s="7">
        <f>IF($E135="","",SUMIFS($D$2:$D135,$B$2:$B135,$B135)/$E135)</f>
        <v/>
      </c>
      <c r="G135" s="6">
        <f>IF($E135="","",MAX(0,$E135-SUMIFS($D$2:$D135,$B$2:$B135,$B135)))</f>
        <v/>
      </c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6">
        <f>IF($D135="","",IF(AND($D135=0,SUM($H135:$S135)=0),"OK",IF(SUM($H135:$S135)=0,"Sem detalhe",IF(AND(OR(SUM($H135:$I135)=$D135,SUM($H135:$I135)=0),OR(SUM($J135:$K135)=$D135,SUM($J135:$K135)=0),OR(SUM($L135:$S135)=$D135,SUM($L135:$S135)=0)),"OK","Verificar: "&amp;IF(AND(SUM($H135:$I135)&lt;&gt;$D135,SUM($H135:$I135)&lt;&gt;0),"perfil ","")&amp;IF(AND(SUM($J135:$K135)&lt;&gt;$D135,SUM($J135:$K135)&lt;&gt;0),"gênero ","")&amp;IF(AND(SUM($L135:$S135)&lt;&gt;$D135,SUM($L135:$S135)&lt;&gt;0),"professor","")))))</f>
        <v/>
      </c>
      <c r="U135" s="5" t="n"/>
    </row>
    <row r="136" ht="18" customHeight="1">
      <c r="A136" s="3" t="n">
        <v>46188</v>
      </c>
      <c r="B136" s="4">
        <f>IF($A136="","",CHOOSE(MONTH($A136),"Janeiro","Fevereiro","Março","Abril","Maio","Junho","Julho","Agosto","Setembro","Outubro","Novembro","Dezembro"))</f>
        <v/>
      </c>
      <c r="C136" s="4">
        <f>IF($A136="","",CHOOSE(WEEKDAY($A136),"Domingo","Segunda-feira","Terça-feira","Quarta-feira","Quinta-feira","Sexta-feira","Sábado"))</f>
        <v/>
      </c>
      <c r="D136" s="5" t="n">
        <v>3</v>
      </c>
      <c r="E136" s="6">
        <f>IFERROR(INDEX(Consolidado_Mensal!$B$2:$B$12,MATCH($B136,Consolidado_Mensal!$A$2:$A$12,0)),"")</f>
        <v/>
      </c>
      <c r="F136" s="7">
        <f>IF($E136="","",SUMIFS($D$2:$D136,$B$2:$B136,$B136)/$E136)</f>
        <v/>
      </c>
      <c r="G136" s="6">
        <f>IF($E136="","",MAX(0,$E136-SUMIFS($D$2:$D136,$B$2:$B136,$B136)))</f>
        <v/>
      </c>
      <c r="H136" s="5" t="n">
        <v>1</v>
      </c>
      <c r="I136" s="5" t="n">
        <v>2</v>
      </c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6">
        <f>IF($D136="","",IF(AND($D136=0,SUM($H136:$S136)=0),"OK",IF(SUM($H136:$S136)=0,"Sem detalhe",IF(AND(OR(SUM($H136:$I136)=$D136,SUM($H136:$I136)=0),OR(SUM($J136:$K136)=$D136,SUM($J136:$K136)=0),OR(SUM($L136:$S136)=$D136,SUM($L136:$S136)=0)),"OK","Verificar: "&amp;IF(AND(SUM($H136:$I136)&lt;&gt;$D136,SUM($H136:$I136)&lt;&gt;0),"perfil ","")&amp;IF(AND(SUM($J136:$K136)&lt;&gt;$D136,SUM($J136:$K136)&lt;&gt;0),"gênero ","")&amp;IF(AND(SUM($L136:$S136)&lt;&gt;$D136,SUM($L136:$S136)&lt;&gt;0),"professor","")))))</f>
        <v/>
      </c>
      <c r="U136" s="5" t="n"/>
    </row>
    <row r="137" ht="18" customHeight="1">
      <c r="A137" s="3" t="n">
        <v>46189</v>
      </c>
      <c r="B137" s="4">
        <f>IF($A137="","",CHOOSE(MONTH($A137),"Janeiro","Fevereiro","Março","Abril","Maio","Junho","Julho","Agosto","Setembro","Outubro","Novembro","Dezembro"))</f>
        <v/>
      </c>
      <c r="C137" s="4">
        <f>IF($A137="","",CHOOSE(WEEKDAY($A137),"Domingo","Segunda-feira","Terça-feira","Quarta-feira","Quinta-feira","Sexta-feira","Sábado"))</f>
        <v/>
      </c>
      <c r="D137" s="5" t="n">
        <v>5</v>
      </c>
      <c r="E137" s="6">
        <f>IFERROR(INDEX(Consolidado_Mensal!$B$2:$B$12,MATCH($B137,Consolidado_Mensal!$A$2:$A$12,0)),"")</f>
        <v/>
      </c>
      <c r="F137" s="7">
        <f>IF($E137="","",SUMIFS($D$2:$D137,$B$2:$B137,$B137)/$E137)</f>
        <v/>
      </c>
      <c r="G137" s="6">
        <f>IF($E137="","",MAX(0,$E137-SUMIFS($D$2:$D137,$B$2:$B137,$B137)))</f>
        <v/>
      </c>
      <c r="H137" s="5" t="n">
        <v>3</v>
      </c>
      <c r="I137" s="5" t="n">
        <v>2</v>
      </c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6">
        <f>IF($D137="","",IF(AND($D137=0,SUM($H137:$S137)=0),"OK",IF(SUM($H137:$S137)=0,"Sem detalhe",IF(AND(OR(SUM($H137:$I137)=$D137,SUM($H137:$I137)=0),OR(SUM($J137:$K137)=$D137,SUM($J137:$K137)=0),OR(SUM($L137:$S137)=$D137,SUM($L137:$S137)=0)),"OK","Verificar: "&amp;IF(AND(SUM($H137:$I137)&lt;&gt;$D137,SUM($H137:$I137)&lt;&gt;0),"perfil ","")&amp;IF(AND(SUM($J137:$K137)&lt;&gt;$D137,SUM($J137:$K137)&lt;&gt;0),"gênero ","")&amp;IF(AND(SUM($L137:$S137)&lt;&gt;$D137,SUM($L137:$S137)&lt;&gt;0),"professor","")))))</f>
        <v/>
      </c>
      <c r="U137" s="5" t="n"/>
    </row>
    <row r="138" ht="18" customHeight="1">
      <c r="A138" s="3" t="n">
        <v>46190</v>
      </c>
      <c r="B138" s="4">
        <f>IF($A138="","",CHOOSE(MONTH($A138),"Janeiro","Fevereiro","Março","Abril","Maio","Junho","Julho","Agosto","Setembro","Outubro","Novembro","Dezembro"))</f>
        <v/>
      </c>
      <c r="C138" s="4">
        <f>IF($A138="","",CHOOSE(WEEKDAY($A138),"Domingo","Segunda-feira","Terça-feira","Quarta-feira","Quinta-feira","Sexta-feira","Sábado"))</f>
        <v/>
      </c>
      <c r="D138" s="5" t="n">
        <v>3</v>
      </c>
      <c r="E138" s="6">
        <f>IFERROR(INDEX(Consolidado_Mensal!$B$2:$B$12,MATCH($B138,Consolidado_Mensal!$A$2:$A$12,0)),"")</f>
        <v/>
      </c>
      <c r="F138" s="7">
        <f>IF($E138="","",SUMIFS($D$2:$D138,$B$2:$B138,$B138)/$E138)</f>
        <v/>
      </c>
      <c r="G138" s="6">
        <f>IF($E138="","",MAX(0,$E138-SUMIFS($D$2:$D138,$B$2:$B138,$B138)))</f>
        <v/>
      </c>
      <c r="H138" s="5" t="n"/>
      <c r="I138" s="5" t="n">
        <v>3</v>
      </c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6">
        <f>IF($D138="","",IF(AND($D138=0,SUM($H138:$S138)=0),"OK",IF(SUM($H138:$S138)=0,"Sem detalhe",IF(AND(OR(SUM($H138:$I138)=$D138,SUM($H138:$I138)=0),OR(SUM($J138:$K138)=$D138,SUM($J138:$K138)=0),OR(SUM($L138:$S138)=$D138,SUM($L138:$S138)=0)),"OK","Verificar: "&amp;IF(AND(SUM($H138:$I138)&lt;&gt;$D138,SUM($H138:$I138)&lt;&gt;0),"perfil ","")&amp;IF(AND(SUM($J138:$K138)&lt;&gt;$D138,SUM($J138:$K138)&lt;&gt;0),"gênero ","")&amp;IF(AND(SUM($L138:$S138)&lt;&gt;$D138,SUM($L138:$S138)&lt;&gt;0),"professor","")))))</f>
        <v/>
      </c>
      <c r="U138" s="5" t="n"/>
    </row>
    <row r="139" ht="18" customHeight="1">
      <c r="A139" s="3" t="n">
        <v>46191</v>
      </c>
      <c r="B139" s="4">
        <f>IF($A139="","",CHOOSE(MONTH($A139),"Janeiro","Fevereiro","Março","Abril","Maio","Junho","Julho","Agosto","Setembro","Outubro","Novembro","Dezembro"))</f>
        <v/>
      </c>
      <c r="C139" s="4">
        <f>IF($A139="","",CHOOSE(WEEKDAY($A139),"Domingo","Segunda-feira","Terça-feira","Quarta-feira","Quinta-feira","Sexta-feira","Sábado"))</f>
        <v/>
      </c>
      <c r="D139" s="5" t="n">
        <v>1</v>
      </c>
      <c r="E139" s="6">
        <f>IFERROR(INDEX(Consolidado_Mensal!$B$2:$B$12,MATCH($B139,Consolidado_Mensal!$A$2:$A$12,0)),"")</f>
        <v/>
      </c>
      <c r="F139" s="7">
        <f>IF($E139="","",SUMIFS($D$2:$D139,$B$2:$B139,$B139)/$E139)</f>
        <v/>
      </c>
      <c r="G139" s="6">
        <f>IF($E139="","",MAX(0,$E139-SUMIFS($D$2:$D139,$B$2:$B139,$B139)))</f>
        <v/>
      </c>
      <c r="H139" s="5" t="n">
        <v>1</v>
      </c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6">
        <f>IF($D139="","",IF(AND($D139=0,SUM($H139:$S139)=0),"OK",IF(SUM($H139:$S139)=0,"Sem detalhe",IF(AND(OR(SUM($H139:$I139)=$D139,SUM($H139:$I139)=0),OR(SUM($J139:$K139)=$D139,SUM($J139:$K139)=0),OR(SUM($L139:$S139)=$D139,SUM($L139:$S139)=0)),"OK","Verificar: "&amp;IF(AND(SUM($H139:$I139)&lt;&gt;$D139,SUM($H139:$I139)&lt;&gt;0),"perfil ","")&amp;IF(AND(SUM($J139:$K139)&lt;&gt;$D139,SUM($J139:$K139)&lt;&gt;0),"gênero ","")&amp;IF(AND(SUM($L139:$S139)&lt;&gt;$D139,SUM($L139:$S139)&lt;&gt;0),"professor","")))))</f>
        <v/>
      </c>
      <c r="U139" s="5" t="n"/>
    </row>
    <row r="140" ht="18" customHeight="1">
      <c r="A140" s="3" t="n">
        <v>46192</v>
      </c>
      <c r="B140" s="4">
        <f>IF($A140="","",CHOOSE(MONTH($A140),"Janeiro","Fevereiro","Março","Abril","Maio","Junho","Julho","Agosto","Setembro","Outubro","Novembro","Dezembro"))</f>
        <v/>
      </c>
      <c r="C140" s="4">
        <f>IF($A140="","",CHOOSE(WEEKDAY($A140),"Domingo","Segunda-feira","Terça-feira","Quarta-feira","Quinta-feira","Sexta-feira","Sábado"))</f>
        <v/>
      </c>
      <c r="D140" s="5" t="n">
        <v>1</v>
      </c>
      <c r="E140" s="6">
        <f>IFERROR(INDEX(Consolidado_Mensal!$B$2:$B$12,MATCH($B140,Consolidado_Mensal!$A$2:$A$12,0)),"")</f>
        <v/>
      </c>
      <c r="F140" s="7">
        <f>IF($E140="","",SUMIFS($D$2:$D140,$B$2:$B140,$B140)/$E140)</f>
        <v/>
      </c>
      <c r="G140" s="6">
        <f>IF($E140="","",MAX(0,$E140-SUMIFS($D$2:$D140,$B$2:$B140,$B140)))</f>
        <v/>
      </c>
      <c r="H140" s="5" t="n">
        <v>1</v>
      </c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6">
        <f>IF($D140="","",IF(AND($D140=0,SUM($H140:$S140)=0),"OK",IF(SUM($H140:$S140)=0,"Sem detalhe",IF(AND(OR(SUM($H140:$I140)=$D140,SUM($H140:$I140)=0),OR(SUM($J140:$K140)=$D140,SUM($J140:$K140)=0),OR(SUM($L140:$S140)=$D140,SUM($L140:$S140)=0)),"OK","Verificar: "&amp;IF(AND(SUM($H140:$I140)&lt;&gt;$D140,SUM($H140:$I140)&lt;&gt;0),"perfil ","")&amp;IF(AND(SUM($J140:$K140)&lt;&gt;$D140,SUM($J140:$K140)&lt;&gt;0),"gênero ","")&amp;IF(AND(SUM($L140:$S140)&lt;&gt;$D140,SUM($L140:$S140)&lt;&gt;0),"professor","")))))</f>
        <v/>
      </c>
      <c r="U140" s="5" t="n"/>
    </row>
    <row r="141" ht="18" customHeight="1">
      <c r="A141" s="3" t="n">
        <v>46193</v>
      </c>
      <c r="B141" s="4">
        <f>IF($A141="","",CHOOSE(MONTH($A141),"Janeiro","Fevereiro","Março","Abril","Maio","Junho","Julho","Agosto","Setembro","Outubro","Novembro","Dezembro"))</f>
        <v/>
      </c>
      <c r="C141" s="4">
        <f>IF($A141="","",CHOOSE(WEEKDAY($A141),"Domingo","Segunda-feira","Terça-feira","Quarta-feira","Quinta-feira","Sexta-feira","Sábado"))</f>
        <v/>
      </c>
      <c r="D141" s="5" t="n"/>
      <c r="E141" s="6">
        <f>IFERROR(INDEX(Consolidado_Mensal!$B$2:$B$12,MATCH($B141,Consolidado_Mensal!$A$2:$A$12,0)),"")</f>
        <v/>
      </c>
      <c r="F141" s="7">
        <f>IF($E141="","",SUMIFS($D$2:$D141,$B$2:$B141,$B141)/$E141)</f>
        <v/>
      </c>
      <c r="G141" s="6">
        <f>IF($E141="","",MAX(0,$E141-SUMIFS($D$2:$D141,$B$2:$B141,$B141)))</f>
        <v/>
      </c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6">
        <f>IF($D141="","",IF(AND($D141=0,SUM($H141:$S141)=0),"OK",IF(SUM($H141:$S141)=0,"Sem detalhe",IF(AND(OR(SUM($H141:$I141)=$D141,SUM($H141:$I141)=0),OR(SUM($J141:$K141)=$D141,SUM($J141:$K141)=0),OR(SUM($L141:$S141)=$D141,SUM($L141:$S141)=0)),"OK","Verificar: "&amp;IF(AND(SUM($H141:$I141)&lt;&gt;$D141,SUM($H141:$I141)&lt;&gt;0),"perfil ","")&amp;IF(AND(SUM($J141:$K141)&lt;&gt;$D141,SUM($J141:$K141)&lt;&gt;0),"gênero ","")&amp;IF(AND(SUM($L141:$S141)&lt;&gt;$D141,SUM($L141:$S141)&lt;&gt;0),"professor","")))))</f>
        <v/>
      </c>
      <c r="U141" s="5" t="n"/>
    </row>
    <row r="142" ht="18" customHeight="1">
      <c r="A142" s="3" t="n">
        <v>46194</v>
      </c>
      <c r="B142" s="4">
        <f>IF($A142="","",CHOOSE(MONTH($A142),"Janeiro","Fevereiro","Março","Abril","Maio","Junho","Julho","Agosto","Setembro","Outubro","Novembro","Dezembro"))</f>
        <v/>
      </c>
      <c r="C142" s="4">
        <f>IF($A142="","",CHOOSE(WEEKDAY($A142),"Domingo","Segunda-feira","Terça-feira","Quarta-feira","Quinta-feira","Sexta-feira","Sábado"))</f>
        <v/>
      </c>
      <c r="D142" s="5" t="n"/>
      <c r="E142" s="6">
        <f>IFERROR(INDEX(Consolidado_Mensal!$B$2:$B$12,MATCH($B142,Consolidado_Mensal!$A$2:$A$12,0)),"")</f>
        <v/>
      </c>
      <c r="F142" s="7">
        <f>IF($E142="","",SUMIFS($D$2:$D142,$B$2:$B142,$B142)/$E142)</f>
        <v/>
      </c>
      <c r="G142" s="6">
        <f>IF($E142="","",MAX(0,$E142-SUMIFS($D$2:$D142,$B$2:$B142,$B142)))</f>
        <v/>
      </c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6">
        <f>IF($D142="","",IF(AND($D142=0,SUM($H142:$S142)=0),"OK",IF(SUM($H142:$S142)=0,"Sem detalhe",IF(AND(OR(SUM($H142:$I142)=$D142,SUM($H142:$I142)=0),OR(SUM($J142:$K142)=$D142,SUM($J142:$K142)=0),OR(SUM($L142:$S142)=$D142,SUM($L142:$S142)=0)),"OK","Verificar: "&amp;IF(AND(SUM($H142:$I142)&lt;&gt;$D142,SUM($H142:$I142)&lt;&gt;0),"perfil ","")&amp;IF(AND(SUM($J142:$K142)&lt;&gt;$D142,SUM($J142:$K142)&lt;&gt;0),"gênero ","")&amp;IF(AND(SUM($L142:$S142)&lt;&gt;$D142,SUM($L142:$S142)&lt;&gt;0),"professor","")))))</f>
        <v/>
      </c>
      <c r="U142" s="5" t="n"/>
    </row>
    <row r="143" ht="18" customHeight="1">
      <c r="A143" s="3" t="n">
        <v>46195</v>
      </c>
      <c r="B143" s="4">
        <f>IF($A143="","",CHOOSE(MONTH($A143),"Janeiro","Fevereiro","Março","Abril","Maio","Junho","Julho","Agosto","Setembro","Outubro","Novembro","Dezembro"))</f>
        <v/>
      </c>
      <c r="C143" s="4">
        <f>IF($A143="","",CHOOSE(WEEKDAY($A143),"Domingo","Segunda-feira","Terça-feira","Quarta-feira","Quinta-feira","Sexta-feira","Sábado"))</f>
        <v/>
      </c>
      <c r="D143" s="5" t="n">
        <v>1</v>
      </c>
      <c r="E143" s="6">
        <f>IFERROR(INDEX(Consolidado_Mensal!$B$2:$B$12,MATCH($B143,Consolidado_Mensal!$A$2:$A$12,0)),"")</f>
        <v/>
      </c>
      <c r="F143" s="7">
        <f>IF($E143="","",SUMIFS($D$2:$D143,$B$2:$B143,$B143)/$E143)</f>
        <v/>
      </c>
      <c r="G143" s="6">
        <f>IF($E143="","",MAX(0,$E143-SUMIFS($D$2:$D143,$B$2:$B143,$B143)))</f>
        <v/>
      </c>
      <c r="H143" s="5" t="n">
        <v>1</v>
      </c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6">
        <f>IF($D143="","",IF(AND($D143=0,SUM($H143:$S143)=0),"OK",IF(SUM($H143:$S143)=0,"Sem detalhe",IF(AND(OR(SUM($H143:$I143)=$D143,SUM($H143:$I143)=0),OR(SUM($J143:$K143)=$D143,SUM($J143:$K143)=0),OR(SUM($L143:$S143)=$D143,SUM($L143:$S143)=0)),"OK","Verificar: "&amp;IF(AND(SUM($H143:$I143)&lt;&gt;$D143,SUM($H143:$I143)&lt;&gt;0),"perfil ","")&amp;IF(AND(SUM($J143:$K143)&lt;&gt;$D143,SUM($J143:$K143)&lt;&gt;0),"gênero ","")&amp;IF(AND(SUM($L143:$S143)&lt;&gt;$D143,SUM($L143:$S143)&lt;&gt;0),"professor","")))))</f>
        <v/>
      </c>
      <c r="U143" s="5" t="n"/>
    </row>
    <row r="144" ht="18" customHeight="1">
      <c r="A144" s="3" t="n">
        <v>46196</v>
      </c>
      <c r="B144" s="4">
        <f>IF($A144="","",CHOOSE(MONTH($A144),"Janeiro","Fevereiro","Março","Abril","Maio","Junho","Julho","Agosto","Setembro","Outubro","Novembro","Dezembro"))</f>
        <v/>
      </c>
      <c r="C144" s="4">
        <f>IF($A144="","",CHOOSE(WEEKDAY($A144),"Domingo","Segunda-feira","Terça-feira","Quarta-feira","Quinta-feira","Sexta-feira","Sábado"))</f>
        <v/>
      </c>
      <c r="D144" s="5" t="n"/>
      <c r="E144" s="6">
        <f>IFERROR(INDEX(Consolidado_Mensal!$B$2:$B$12,MATCH($B144,Consolidado_Mensal!$A$2:$A$12,0)),"")</f>
        <v/>
      </c>
      <c r="F144" s="7">
        <f>IF($E144="","",SUMIFS($D$2:$D144,$B$2:$B144,$B144)/$E144)</f>
        <v/>
      </c>
      <c r="G144" s="6">
        <f>IF($E144="","",MAX(0,$E144-SUMIFS($D$2:$D144,$B$2:$B144,$B144)))</f>
        <v/>
      </c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6">
        <f>IF($D144="","",IF(AND($D144=0,SUM($H144:$S144)=0),"OK",IF(SUM($H144:$S144)=0,"Sem detalhe",IF(AND(OR(SUM($H144:$I144)=$D144,SUM($H144:$I144)=0),OR(SUM($J144:$K144)=$D144,SUM($J144:$K144)=0),OR(SUM($L144:$S144)=$D144,SUM($L144:$S144)=0)),"OK","Verificar: "&amp;IF(AND(SUM($H144:$I144)&lt;&gt;$D144,SUM($H144:$I144)&lt;&gt;0),"perfil ","")&amp;IF(AND(SUM($J144:$K144)&lt;&gt;$D144,SUM($J144:$K144)&lt;&gt;0),"gênero ","")&amp;IF(AND(SUM($L144:$S144)&lt;&gt;$D144,SUM($L144:$S144)&lt;&gt;0),"professor","")))))</f>
        <v/>
      </c>
      <c r="U144" s="5" t="n"/>
    </row>
    <row r="145" ht="18" customHeight="1">
      <c r="A145" s="3" t="n">
        <v>46197</v>
      </c>
      <c r="B145" s="4">
        <f>IF($A145="","",CHOOSE(MONTH($A145),"Janeiro","Fevereiro","Março","Abril","Maio","Junho","Julho","Agosto","Setembro","Outubro","Novembro","Dezembro"))</f>
        <v/>
      </c>
      <c r="C145" s="4">
        <f>IF($A145="","",CHOOSE(WEEKDAY($A145),"Domingo","Segunda-feira","Terça-feira","Quarta-feira","Quinta-feira","Sexta-feira","Sábado"))</f>
        <v/>
      </c>
      <c r="D145" s="5" t="n">
        <v>1</v>
      </c>
      <c r="E145" s="6">
        <f>IFERROR(INDEX(Consolidado_Mensal!$B$2:$B$12,MATCH($B145,Consolidado_Mensal!$A$2:$A$12,0)),"")</f>
        <v/>
      </c>
      <c r="F145" s="7">
        <f>IF($E145="","",SUMIFS($D$2:$D145,$B$2:$B145,$B145)/$E145)</f>
        <v/>
      </c>
      <c r="G145" s="6">
        <f>IF($E145="","",MAX(0,$E145-SUMIFS($D$2:$D145,$B$2:$B145,$B145)))</f>
        <v/>
      </c>
      <c r="H145" s="5" t="n">
        <v>1</v>
      </c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6">
        <f>IF($D145="","",IF(AND($D145=0,SUM($H145:$S145)=0),"OK",IF(SUM($H145:$S145)=0,"Sem detalhe",IF(AND(OR(SUM($H145:$I145)=$D145,SUM($H145:$I145)=0),OR(SUM($J145:$K145)=$D145,SUM($J145:$K145)=0),OR(SUM($L145:$S145)=$D145,SUM($L145:$S145)=0)),"OK","Verificar: "&amp;IF(AND(SUM($H145:$I145)&lt;&gt;$D145,SUM($H145:$I145)&lt;&gt;0),"perfil ","")&amp;IF(AND(SUM($J145:$K145)&lt;&gt;$D145,SUM($J145:$K145)&lt;&gt;0),"gênero ","")&amp;IF(AND(SUM($L145:$S145)&lt;&gt;$D145,SUM($L145:$S145)&lt;&gt;0),"professor","")))))</f>
        <v/>
      </c>
      <c r="U145" s="5" t="n"/>
    </row>
    <row r="146" ht="18" customHeight="1">
      <c r="A146" s="3" t="n">
        <v>46198</v>
      </c>
      <c r="B146" s="4">
        <f>IF($A146="","",CHOOSE(MONTH($A146),"Janeiro","Fevereiro","Março","Abril","Maio","Junho","Julho","Agosto","Setembro","Outubro","Novembro","Dezembro"))</f>
        <v/>
      </c>
      <c r="C146" s="4">
        <f>IF($A146="","",CHOOSE(WEEKDAY($A146),"Domingo","Segunda-feira","Terça-feira","Quarta-feira","Quinta-feira","Sexta-feira","Sábado"))</f>
        <v/>
      </c>
      <c r="D146" s="5" t="n">
        <v>1</v>
      </c>
      <c r="E146" s="6">
        <f>IFERROR(INDEX(Consolidado_Mensal!$B$2:$B$12,MATCH($B146,Consolidado_Mensal!$A$2:$A$12,0)),"")</f>
        <v/>
      </c>
      <c r="F146" s="7">
        <f>IF($E146="","",SUMIFS($D$2:$D146,$B$2:$B146,$B146)/$E146)</f>
        <v/>
      </c>
      <c r="G146" s="6">
        <f>IF($E146="","",MAX(0,$E146-SUMIFS($D$2:$D146,$B$2:$B146,$B146)))</f>
        <v/>
      </c>
      <c r="H146" s="5" t="n">
        <v>1</v>
      </c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6">
        <f>IF($D146="","",IF(AND($D146=0,SUM($H146:$S146)=0),"OK",IF(SUM($H146:$S146)=0,"Sem detalhe",IF(AND(OR(SUM($H146:$I146)=$D146,SUM($H146:$I146)=0),OR(SUM($J146:$K146)=$D146,SUM($J146:$K146)=0),OR(SUM($L146:$S146)=$D146,SUM($L146:$S146)=0)),"OK","Verificar: "&amp;IF(AND(SUM($H146:$I146)&lt;&gt;$D146,SUM($H146:$I146)&lt;&gt;0),"perfil ","")&amp;IF(AND(SUM($J146:$K146)&lt;&gt;$D146,SUM($J146:$K146)&lt;&gt;0),"gênero ","")&amp;IF(AND(SUM($L146:$S146)&lt;&gt;$D146,SUM($L146:$S146)&lt;&gt;0),"professor","")))))</f>
        <v/>
      </c>
      <c r="U146" s="5" t="n"/>
    </row>
    <row r="147" ht="18" customHeight="1">
      <c r="A147" s="3" t="n">
        <v>46199</v>
      </c>
      <c r="B147" s="4">
        <f>IF($A147="","",CHOOSE(MONTH($A147),"Janeiro","Fevereiro","Março","Abril","Maio","Junho","Julho","Agosto","Setembro","Outubro","Novembro","Dezembro"))</f>
        <v/>
      </c>
      <c r="C147" s="4">
        <f>IF($A147="","",CHOOSE(WEEKDAY($A147),"Domingo","Segunda-feira","Terça-feira","Quarta-feira","Quinta-feira","Sexta-feira","Sábado"))</f>
        <v/>
      </c>
      <c r="D147" s="5" t="n">
        <v>1</v>
      </c>
      <c r="E147" s="6">
        <f>IFERROR(INDEX(Consolidado_Mensal!$B$2:$B$12,MATCH($B147,Consolidado_Mensal!$A$2:$A$12,0)),"")</f>
        <v/>
      </c>
      <c r="F147" s="7">
        <f>IF($E147="","",SUMIFS($D$2:$D147,$B$2:$B147,$B147)/$E147)</f>
        <v/>
      </c>
      <c r="G147" s="6">
        <f>IF($E147="","",MAX(0,$E147-SUMIFS($D$2:$D147,$B$2:$B147,$B147)))</f>
        <v/>
      </c>
      <c r="H147" s="5" t="n">
        <v>1</v>
      </c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6">
        <f>IF($D147="","",IF(AND($D147=0,SUM($H147:$S147)=0),"OK",IF(SUM($H147:$S147)=0,"Sem detalhe",IF(AND(OR(SUM($H147:$I147)=$D147,SUM($H147:$I147)=0),OR(SUM($J147:$K147)=$D147,SUM($J147:$K147)=0),OR(SUM($L147:$S147)=$D147,SUM($L147:$S147)=0)),"OK","Verificar: "&amp;IF(AND(SUM($H147:$I147)&lt;&gt;$D147,SUM($H147:$I147)&lt;&gt;0),"perfil ","")&amp;IF(AND(SUM($J147:$K147)&lt;&gt;$D147,SUM($J147:$K147)&lt;&gt;0),"gênero ","")&amp;IF(AND(SUM($L147:$S147)&lt;&gt;$D147,SUM($L147:$S147)&lt;&gt;0),"professor","")))))</f>
        <v/>
      </c>
      <c r="U147" s="5" t="n"/>
    </row>
    <row r="148" ht="18" customHeight="1">
      <c r="A148" s="3" t="n">
        <v>46200</v>
      </c>
      <c r="B148" s="4">
        <f>IF($A148="","",CHOOSE(MONTH($A148),"Janeiro","Fevereiro","Março","Abril","Maio","Junho","Julho","Agosto","Setembro","Outubro","Novembro","Dezembro"))</f>
        <v/>
      </c>
      <c r="C148" s="4">
        <f>IF($A148="","",CHOOSE(WEEKDAY($A148),"Domingo","Segunda-feira","Terça-feira","Quarta-feira","Quinta-feira","Sexta-feira","Sábado"))</f>
        <v/>
      </c>
      <c r="D148" s="5" t="n"/>
      <c r="E148" s="6">
        <f>IFERROR(INDEX(Consolidado_Mensal!$B$2:$B$12,MATCH($B148,Consolidado_Mensal!$A$2:$A$12,0)),"")</f>
        <v/>
      </c>
      <c r="F148" s="7">
        <f>IF($E148="","",SUMIFS($D$2:$D148,$B$2:$B148,$B148)/$E148)</f>
        <v/>
      </c>
      <c r="G148" s="6">
        <f>IF($E148="","",MAX(0,$E148-SUMIFS($D$2:$D148,$B$2:$B148,$B148)))</f>
        <v/>
      </c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6">
        <f>IF($D148="","",IF(AND($D148=0,SUM($H148:$S148)=0),"OK",IF(SUM($H148:$S148)=0,"Sem detalhe",IF(AND(OR(SUM($H148:$I148)=$D148,SUM($H148:$I148)=0),OR(SUM($J148:$K148)=$D148,SUM($J148:$K148)=0),OR(SUM($L148:$S148)=$D148,SUM($L148:$S148)=0)),"OK","Verificar: "&amp;IF(AND(SUM($H148:$I148)&lt;&gt;$D148,SUM($H148:$I148)&lt;&gt;0),"perfil ","")&amp;IF(AND(SUM($J148:$K148)&lt;&gt;$D148,SUM($J148:$K148)&lt;&gt;0),"gênero ","")&amp;IF(AND(SUM($L148:$S148)&lt;&gt;$D148,SUM($L148:$S148)&lt;&gt;0),"professor","")))))</f>
        <v/>
      </c>
      <c r="U148" s="5" t="n"/>
    </row>
    <row r="149" ht="18" customHeight="1">
      <c r="A149" s="3" t="n">
        <v>46201</v>
      </c>
      <c r="B149" s="4">
        <f>IF($A149="","",CHOOSE(MONTH($A149),"Janeiro","Fevereiro","Março","Abril","Maio","Junho","Julho","Agosto","Setembro","Outubro","Novembro","Dezembro"))</f>
        <v/>
      </c>
      <c r="C149" s="4">
        <f>IF($A149="","",CHOOSE(WEEKDAY($A149),"Domingo","Segunda-feira","Terça-feira","Quarta-feira","Quinta-feira","Sexta-feira","Sábado"))</f>
        <v/>
      </c>
      <c r="D149" s="5" t="n"/>
      <c r="E149" s="6">
        <f>IFERROR(INDEX(Consolidado_Mensal!$B$2:$B$12,MATCH($B149,Consolidado_Mensal!$A$2:$A$12,0)),"")</f>
        <v/>
      </c>
      <c r="F149" s="7">
        <f>IF($E149="","",SUMIFS($D$2:$D149,$B$2:$B149,$B149)/$E149)</f>
        <v/>
      </c>
      <c r="G149" s="6">
        <f>IF($E149="","",MAX(0,$E149-SUMIFS($D$2:$D149,$B$2:$B149,$B149)))</f>
        <v/>
      </c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6">
        <f>IF($D149="","",IF(AND($D149=0,SUM($H149:$S149)=0),"OK",IF(SUM($H149:$S149)=0,"Sem detalhe",IF(AND(OR(SUM($H149:$I149)=$D149,SUM($H149:$I149)=0),OR(SUM($J149:$K149)=$D149,SUM($J149:$K149)=0),OR(SUM($L149:$S149)=$D149,SUM($L149:$S149)=0)),"OK","Verificar: "&amp;IF(AND(SUM($H149:$I149)&lt;&gt;$D149,SUM($H149:$I149)&lt;&gt;0),"perfil ","")&amp;IF(AND(SUM($J149:$K149)&lt;&gt;$D149,SUM($J149:$K149)&lt;&gt;0),"gênero ","")&amp;IF(AND(SUM($L149:$S149)&lt;&gt;$D149,SUM($L149:$S149)&lt;&gt;0),"professor","")))))</f>
        <v/>
      </c>
      <c r="U149" s="5" t="n"/>
    </row>
    <row r="150" ht="18" customHeight="1">
      <c r="A150" s="3" t="n">
        <v>46202</v>
      </c>
      <c r="B150" s="4">
        <f>IF($A150="","",CHOOSE(MONTH($A150),"Janeiro","Fevereiro","Março","Abril","Maio","Junho","Julho","Agosto","Setembro","Outubro","Novembro","Dezembro"))</f>
        <v/>
      </c>
      <c r="C150" s="4">
        <f>IF($A150="","",CHOOSE(WEEKDAY($A150),"Domingo","Segunda-feira","Terça-feira","Quarta-feira","Quinta-feira","Sexta-feira","Sábado"))</f>
        <v/>
      </c>
      <c r="D150" s="5" t="n"/>
      <c r="E150" s="6">
        <f>IFERROR(INDEX(Consolidado_Mensal!$B$2:$B$12,MATCH($B150,Consolidado_Mensal!$A$2:$A$12,0)),"")</f>
        <v/>
      </c>
      <c r="F150" s="7">
        <f>IF($E150="","",SUMIFS($D$2:$D150,$B$2:$B150,$B150)/$E150)</f>
        <v/>
      </c>
      <c r="G150" s="6">
        <f>IF($E150="","",MAX(0,$E150-SUMIFS($D$2:$D150,$B$2:$B150,$B150)))</f>
        <v/>
      </c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6">
        <f>IF($D150="","",IF(AND($D150=0,SUM($H150:$S150)=0),"OK",IF(SUM($H150:$S150)=0,"Sem detalhe",IF(AND(OR(SUM($H150:$I150)=$D150,SUM($H150:$I150)=0),OR(SUM($J150:$K150)=$D150,SUM($J150:$K150)=0),OR(SUM($L150:$S150)=$D150,SUM($L150:$S150)=0)),"OK","Verificar: "&amp;IF(AND(SUM($H150:$I150)&lt;&gt;$D150,SUM($H150:$I150)&lt;&gt;0),"perfil ","")&amp;IF(AND(SUM($J150:$K150)&lt;&gt;$D150,SUM($J150:$K150)&lt;&gt;0),"gênero ","")&amp;IF(AND(SUM($L150:$S150)&lt;&gt;$D150,SUM($L150:$S150)&lt;&gt;0),"professor","")))))</f>
        <v/>
      </c>
      <c r="U150" s="5" t="n"/>
    </row>
    <row r="151" ht="18" customHeight="1">
      <c r="A151" s="3" t="n">
        <v>46203</v>
      </c>
      <c r="B151" s="4">
        <f>IF($A151="","",CHOOSE(MONTH($A151),"Janeiro","Fevereiro","Março","Abril","Maio","Junho","Julho","Agosto","Setembro","Outubro","Novembro","Dezembro"))</f>
        <v/>
      </c>
      <c r="C151" s="4">
        <f>IF($A151="","",CHOOSE(WEEKDAY($A151),"Domingo","Segunda-feira","Terça-feira","Quarta-feira","Quinta-feira","Sexta-feira","Sábado"))</f>
        <v/>
      </c>
      <c r="D151" s="5" t="n"/>
      <c r="E151" s="6">
        <f>IFERROR(INDEX(Consolidado_Mensal!$B$2:$B$12,MATCH($B151,Consolidado_Mensal!$A$2:$A$12,0)),"")</f>
        <v/>
      </c>
      <c r="F151" s="7">
        <f>IF($E151="","",SUMIFS($D$2:$D151,$B$2:$B151,$B151)/$E151)</f>
        <v/>
      </c>
      <c r="G151" s="6">
        <f>IF($E151="","",MAX(0,$E151-SUMIFS($D$2:$D151,$B$2:$B151,$B151)))</f>
        <v/>
      </c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6">
        <f>IF($D151="","",IF(AND($D151=0,SUM($H151:$S151)=0),"OK",IF(SUM($H151:$S151)=0,"Sem detalhe",IF(AND(OR(SUM($H151:$I151)=$D151,SUM($H151:$I151)=0),OR(SUM($J151:$K151)=$D151,SUM($J151:$K151)=0),OR(SUM($L151:$S151)=$D151,SUM($L151:$S151)=0)),"OK","Verificar: "&amp;IF(AND(SUM($H151:$I151)&lt;&gt;$D151,SUM($H151:$I151)&lt;&gt;0),"perfil ","")&amp;IF(AND(SUM($J151:$K151)&lt;&gt;$D151,SUM($J151:$K151)&lt;&gt;0),"gênero ","")&amp;IF(AND(SUM($L151:$S151)&lt;&gt;$D151,SUM($L151:$S151)&lt;&gt;0),"professor","")))))</f>
        <v/>
      </c>
      <c r="U151" s="5" t="n"/>
    </row>
    <row r="152" ht="18" customHeight="1">
      <c r="A152" s="3" t="n">
        <v>46204</v>
      </c>
      <c r="B152" s="4">
        <f>IF($A152="","",CHOOSE(MONTH($A152),"Janeiro","Fevereiro","Março","Abril","Maio","Junho","Julho","Agosto","Setembro","Outubro","Novembro","Dezembro"))</f>
        <v/>
      </c>
      <c r="C152" s="4">
        <f>IF($A152="","",CHOOSE(WEEKDAY($A152),"Domingo","Segunda-feira","Terça-feira","Quarta-feira","Quinta-feira","Sexta-feira","Sábado"))</f>
        <v/>
      </c>
      <c r="D152" s="5" t="n"/>
      <c r="E152" s="6">
        <f>IFERROR(INDEX(Consolidado_Mensal!$B$2:$B$12,MATCH($B152,Consolidado_Mensal!$A$2:$A$12,0)),"")</f>
        <v/>
      </c>
      <c r="F152" s="7">
        <f>IF($E152="","",SUMIFS($D$2:$D152,$B$2:$B152,$B152)/$E152)</f>
        <v/>
      </c>
      <c r="G152" s="6">
        <f>IF($E152="","",MAX(0,$E152-SUMIFS($D$2:$D152,$B$2:$B152,$B152)))</f>
        <v/>
      </c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6">
        <f>IF($D152="","",IF(AND($D152=0,SUM($H152:$S152)=0),"OK",IF(SUM($H152:$S152)=0,"Sem detalhe",IF(AND(OR(SUM($H152:$I152)=$D152,SUM($H152:$I152)=0),OR(SUM($J152:$K152)=$D152,SUM($J152:$K152)=0),OR(SUM($L152:$S152)=$D152,SUM($L152:$S152)=0)),"OK","Verificar: "&amp;IF(AND(SUM($H152:$I152)&lt;&gt;$D152,SUM($H152:$I152)&lt;&gt;0),"perfil ","")&amp;IF(AND(SUM($J152:$K152)&lt;&gt;$D152,SUM($J152:$K152)&lt;&gt;0),"gênero ","")&amp;IF(AND(SUM($L152:$S152)&lt;&gt;$D152,SUM($L152:$S152)&lt;&gt;0),"professor","")))))</f>
        <v/>
      </c>
      <c r="U152" s="5" t="n"/>
    </row>
    <row r="153" ht="18" customHeight="1">
      <c r="A153" s="3" t="n">
        <v>46205</v>
      </c>
      <c r="B153" s="4">
        <f>IF($A153="","",CHOOSE(MONTH($A153),"Janeiro","Fevereiro","Março","Abril","Maio","Junho","Julho","Agosto","Setembro","Outubro","Novembro","Dezembro"))</f>
        <v/>
      </c>
      <c r="C153" s="4">
        <f>IF($A153="","",CHOOSE(WEEKDAY($A153),"Domingo","Segunda-feira","Terça-feira","Quarta-feira","Quinta-feira","Sexta-feira","Sábado"))</f>
        <v/>
      </c>
      <c r="D153" s="5" t="n">
        <v>2</v>
      </c>
      <c r="E153" s="6">
        <f>IFERROR(INDEX(Consolidado_Mensal!$B$2:$B$12,MATCH($B153,Consolidado_Mensal!$A$2:$A$12,0)),"")</f>
        <v/>
      </c>
      <c r="F153" s="7">
        <f>IF($E153="","",SUMIFS($D$2:$D153,$B$2:$B153,$B153)/$E153)</f>
        <v/>
      </c>
      <c r="G153" s="6">
        <f>IF($E153="","",MAX(0,$E153-SUMIFS($D$2:$D153,$B$2:$B153,$B153)))</f>
        <v/>
      </c>
      <c r="H153" s="5" t="n">
        <v>1</v>
      </c>
      <c r="I153" s="5" t="n">
        <v>1</v>
      </c>
      <c r="J153" s="5" t="n"/>
      <c r="K153" s="5" t="n">
        <v>2</v>
      </c>
      <c r="L153" s="5" t="n">
        <v>2</v>
      </c>
      <c r="M153" s="5" t="n"/>
      <c r="N153" s="5" t="n"/>
      <c r="O153" s="5" t="n"/>
      <c r="P153" s="5" t="n"/>
      <c r="Q153" s="5" t="n"/>
      <c r="R153" s="5" t="n"/>
      <c r="S153" s="5" t="n"/>
      <c r="T153" s="6">
        <f>IF($D153="","",IF(AND($D153=0,SUM($H153:$S153)=0),"OK",IF(SUM($H153:$S153)=0,"Sem detalhe",IF(AND(OR(SUM($H153:$I153)=$D153,SUM($H153:$I153)=0),OR(SUM($J153:$K153)=$D153,SUM($J153:$K153)=0),OR(SUM($L153:$S153)=$D153,SUM($L153:$S153)=0)),"OK","Verificar: "&amp;IF(AND(SUM($H153:$I153)&lt;&gt;$D153,SUM($H153:$I153)&lt;&gt;0),"perfil ","")&amp;IF(AND(SUM($J153:$K153)&lt;&gt;$D153,SUM($J153:$K153)&lt;&gt;0),"gênero ","")&amp;IF(AND(SUM($L153:$S153)&lt;&gt;$D153,SUM($L153:$S153)&lt;&gt;0),"professor","")))))</f>
        <v/>
      </c>
      <c r="U153" s="5" t="n"/>
    </row>
    <row r="154" ht="18" customHeight="1">
      <c r="A154" s="3" t="n">
        <v>46206</v>
      </c>
      <c r="B154" s="4">
        <f>IF($A154="","",CHOOSE(MONTH($A154),"Janeiro","Fevereiro","Março","Abril","Maio","Junho","Julho","Agosto","Setembro","Outubro","Novembro","Dezembro"))</f>
        <v/>
      </c>
      <c r="C154" s="4">
        <f>IF($A154="","",CHOOSE(WEEKDAY($A154),"Domingo","Segunda-feira","Terça-feira","Quarta-feira","Quinta-feira","Sexta-feira","Sábado"))</f>
        <v/>
      </c>
      <c r="D154" s="5" t="n">
        <v>1</v>
      </c>
      <c r="E154" s="6">
        <f>IFERROR(INDEX(Consolidado_Mensal!$B$2:$B$12,MATCH($B154,Consolidado_Mensal!$A$2:$A$12,0)),"")</f>
        <v/>
      </c>
      <c r="F154" s="7">
        <f>IF($E154="","",SUMIFS($D$2:$D154,$B$2:$B154,$B154)/$E154)</f>
        <v/>
      </c>
      <c r="G154" s="6">
        <f>IF($E154="","",MAX(0,$E154-SUMIFS($D$2:$D154,$B$2:$B154,$B154)))</f>
        <v/>
      </c>
      <c r="H154" s="5" t="n"/>
      <c r="I154" s="5" t="n">
        <v>1</v>
      </c>
      <c r="J154" s="5" t="n"/>
      <c r="K154" s="5" t="n">
        <v>1</v>
      </c>
      <c r="L154" s="5" t="n"/>
      <c r="M154" s="5" t="n">
        <v>1</v>
      </c>
      <c r="N154" s="5" t="n"/>
      <c r="O154" s="5" t="n"/>
      <c r="P154" s="5" t="n"/>
      <c r="Q154" s="5" t="n"/>
      <c r="R154" s="5" t="n"/>
      <c r="S154" s="5" t="n"/>
      <c r="T154" s="6">
        <f>IF($D154="","",IF(AND($D154=0,SUM($H154:$S154)=0),"OK",IF(SUM($H154:$S154)=0,"Sem detalhe",IF(AND(OR(SUM($H154:$I154)=$D154,SUM($H154:$I154)=0),OR(SUM($J154:$K154)=$D154,SUM($J154:$K154)=0),OR(SUM($L154:$S154)=$D154,SUM($L154:$S154)=0)),"OK","Verificar: "&amp;IF(AND(SUM($H154:$I154)&lt;&gt;$D154,SUM($H154:$I154)&lt;&gt;0),"perfil ","")&amp;IF(AND(SUM($J154:$K154)&lt;&gt;$D154,SUM($J154:$K154)&lt;&gt;0),"gênero ","")&amp;IF(AND(SUM($L154:$S154)&lt;&gt;$D154,SUM($L154:$S154)&lt;&gt;0),"professor","")))))</f>
        <v/>
      </c>
      <c r="U154" s="5" t="n"/>
    </row>
    <row r="155" ht="18" customHeight="1">
      <c r="A155" s="3" t="n">
        <v>46207</v>
      </c>
      <c r="B155" s="4">
        <f>IF($A155="","",CHOOSE(MONTH($A155),"Janeiro","Fevereiro","Março","Abril","Maio","Junho","Julho","Agosto","Setembro","Outubro","Novembro","Dezembro"))</f>
        <v/>
      </c>
      <c r="C155" s="4">
        <f>IF($A155="","",CHOOSE(WEEKDAY($A155),"Domingo","Segunda-feira","Terça-feira","Quarta-feira","Quinta-feira","Sexta-feira","Sábado"))</f>
        <v/>
      </c>
      <c r="D155" s="5" t="n"/>
      <c r="E155" s="6">
        <f>IFERROR(INDEX(Consolidado_Mensal!$B$2:$B$12,MATCH($B155,Consolidado_Mensal!$A$2:$A$12,0)),"")</f>
        <v/>
      </c>
      <c r="F155" s="7">
        <f>IF($E155="","",SUMIFS($D$2:$D155,$B$2:$B155,$B155)/$E155)</f>
        <v/>
      </c>
      <c r="G155" s="6">
        <f>IF($E155="","",MAX(0,$E155-SUMIFS($D$2:$D155,$B$2:$B155,$B155)))</f>
        <v/>
      </c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6">
        <f>IF($D155="","",IF(AND($D155=0,SUM($H155:$S155)=0),"OK",IF(SUM($H155:$S155)=0,"Sem detalhe",IF(AND(OR(SUM($H155:$I155)=$D155,SUM($H155:$I155)=0),OR(SUM($J155:$K155)=$D155,SUM($J155:$K155)=0),OR(SUM($L155:$S155)=$D155,SUM($L155:$S155)=0)),"OK","Verificar: "&amp;IF(AND(SUM($H155:$I155)&lt;&gt;$D155,SUM($H155:$I155)&lt;&gt;0),"perfil ","")&amp;IF(AND(SUM($J155:$K155)&lt;&gt;$D155,SUM($J155:$K155)&lt;&gt;0),"gênero ","")&amp;IF(AND(SUM($L155:$S155)&lt;&gt;$D155,SUM($L155:$S155)&lt;&gt;0),"professor","")))))</f>
        <v/>
      </c>
      <c r="U155" s="5" t="n"/>
    </row>
    <row r="156" ht="18" customHeight="1">
      <c r="A156" s="3" t="n">
        <v>46208</v>
      </c>
      <c r="B156" s="4">
        <f>IF($A156="","",CHOOSE(MONTH($A156),"Janeiro","Fevereiro","Março","Abril","Maio","Junho","Julho","Agosto","Setembro","Outubro","Novembro","Dezembro"))</f>
        <v/>
      </c>
      <c r="C156" s="4">
        <f>IF($A156="","",CHOOSE(WEEKDAY($A156),"Domingo","Segunda-feira","Terça-feira","Quarta-feira","Quinta-feira","Sexta-feira","Sábado"))</f>
        <v/>
      </c>
      <c r="D156" s="5" t="n"/>
      <c r="E156" s="6">
        <f>IFERROR(INDEX(Consolidado_Mensal!$B$2:$B$12,MATCH($B156,Consolidado_Mensal!$A$2:$A$12,0)),"")</f>
        <v/>
      </c>
      <c r="F156" s="7">
        <f>IF($E156="","",SUMIFS($D$2:$D156,$B$2:$B156,$B156)/$E156)</f>
        <v/>
      </c>
      <c r="G156" s="6">
        <f>IF($E156="","",MAX(0,$E156-SUMIFS($D$2:$D156,$B$2:$B156,$B156)))</f>
        <v/>
      </c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6">
        <f>IF($D156="","",IF(AND($D156=0,SUM($H156:$S156)=0),"OK",IF(SUM($H156:$S156)=0,"Sem detalhe",IF(AND(OR(SUM($H156:$I156)=$D156,SUM($H156:$I156)=0),OR(SUM($J156:$K156)=$D156,SUM($J156:$K156)=0),OR(SUM($L156:$S156)=$D156,SUM($L156:$S156)=0)),"OK","Verificar: "&amp;IF(AND(SUM($H156:$I156)&lt;&gt;$D156,SUM($H156:$I156)&lt;&gt;0),"perfil ","")&amp;IF(AND(SUM($J156:$K156)&lt;&gt;$D156,SUM($J156:$K156)&lt;&gt;0),"gênero ","")&amp;IF(AND(SUM($L156:$S156)&lt;&gt;$D156,SUM($L156:$S156)&lt;&gt;0),"professor","")))))</f>
        <v/>
      </c>
      <c r="U156" s="5" t="n"/>
    </row>
    <row r="157" ht="18" customHeight="1">
      <c r="A157" s="3" t="n">
        <v>46209</v>
      </c>
      <c r="B157" s="4">
        <f>IF($A157="","",CHOOSE(MONTH($A157),"Janeiro","Fevereiro","Março","Abril","Maio","Junho","Julho","Agosto","Setembro","Outubro","Novembro","Dezembro"))</f>
        <v/>
      </c>
      <c r="C157" s="4">
        <f>IF($A157="","",CHOOSE(WEEKDAY($A157),"Domingo","Segunda-feira","Terça-feira","Quarta-feira","Quinta-feira","Sexta-feira","Sábado"))</f>
        <v/>
      </c>
      <c r="D157" s="5" t="n">
        <v>2</v>
      </c>
      <c r="E157" s="6">
        <f>IFERROR(INDEX(Consolidado_Mensal!$B$2:$B$12,MATCH($B157,Consolidado_Mensal!$A$2:$A$12,0)),"")</f>
        <v/>
      </c>
      <c r="F157" s="7">
        <f>IF($E157="","",SUMIFS($D$2:$D157,$B$2:$B157,$B157)/$E157)</f>
        <v/>
      </c>
      <c r="G157" s="6">
        <f>IF($E157="","",MAX(0,$E157-SUMIFS($D$2:$D157,$B$2:$B157,$B157)))</f>
        <v/>
      </c>
      <c r="H157" s="5" t="n">
        <v>2</v>
      </c>
      <c r="I157" s="5" t="n"/>
      <c r="J157" s="5" t="n">
        <v>1</v>
      </c>
      <c r="K157" s="5" t="n">
        <v>1</v>
      </c>
      <c r="L157" s="5" t="n">
        <v>1</v>
      </c>
      <c r="M157" s="5" t="n">
        <v>1</v>
      </c>
      <c r="N157" s="5" t="n"/>
      <c r="O157" s="5" t="n"/>
      <c r="P157" s="5" t="n"/>
      <c r="Q157" s="5" t="n"/>
      <c r="R157" s="5" t="n"/>
      <c r="S157" s="5" t="n"/>
      <c r="T157" s="6">
        <f>IF($D157="","",IF(AND($D157=0,SUM($H157:$S157)=0),"OK",IF(SUM($H157:$S157)=0,"Sem detalhe",IF(AND(OR(SUM($H157:$I157)=$D157,SUM($H157:$I157)=0),OR(SUM($J157:$K157)=$D157,SUM($J157:$K157)=0),OR(SUM($L157:$S157)=$D157,SUM($L157:$S157)=0)),"OK","Verificar: "&amp;IF(AND(SUM($H157:$I157)&lt;&gt;$D157,SUM($H157:$I157)&lt;&gt;0),"perfil ","")&amp;IF(AND(SUM($J157:$K157)&lt;&gt;$D157,SUM($J157:$K157)&lt;&gt;0),"gênero ","")&amp;IF(AND(SUM($L157:$S157)&lt;&gt;$D157,SUM($L157:$S157)&lt;&gt;0),"professor","")))))</f>
        <v/>
      </c>
      <c r="U157" s="5" t="n"/>
    </row>
    <row r="158" ht="18" customHeight="1">
      <c r="A158" s="3" t="n">
        <v>46210</v>
      </c>
      <c r="B158" s="4">
        <f>IF($A158="","",CHOOSE(MONTH($A158),"Janeiro","Fevereiro","Março","Abril","Maio","Junho","Julho","Agosto","Setembro","Outubro","Novembro","Dezembro"))</f>
        <v/>
      </c>
      <c r="C158" s="4">
        <f>IF($A158="","",CHOOSE(WEEKDAY($A158),"Domingo","Segunda-feira","Terça-feira","Quarta-feira","Quinta-feira","Sexta-feira","Sábado"))</f>
        <v/>
      </c>
      <c r="D158" s="5" t="n">
        <v>5</v>
      </c>
      <c r="E158" s="6">
        <f>IFERROR(INDEX(Consolidado_Mensal!$B$2:$B$12,MATCH($B158,Consolidado_Mensal!$A$2:$A$12,0)),"")</f>
        <v/>
      </c>
      <c r="F158" s="7">
        <f>IF($E158="","",SUMIFS($D$2:$D158,$B$2:$B158,$B158)/$E158)</f>
        <v/>
      </c>
      <c r="G158" s="6">
        <f>IF($E158="","",MAX(0,$E158-SUMIFS($D$2:$D158,$B$2:$B158,$B158)))</f>
        <v/>
      </c>
      <c r="H158" s="5" t="n">
        <v>5</v>
      </c>
      <c r="I158" s="5" t="n"/>
      <c r="J158" s="5" t="n"/>
      <c r="K158" s="5" t="n">
        <v>5</v>
      </c>
      <c r="L158" s="5" t="n">
        <v>1</v>
      </c>
      <c r="M158" s="5" t="n">
        <v>3</v>
      </c>
      <c r="N158" s="5" t="n"/>
      <c r="O158" s="5" t="n"/>
      <c r="P158" s="5" t="n">
        <v>1</v>
      </c>
      <c r="Q158" s="5" t="n"/>
      <c r="R158" s="5" t="n"/>
      <c r="S158" s="5" t="n"/>
      <c r="T158" s="6">
        <f>IF($D158="","",IF(AND($D158=0,SUM($H158:$S158)=0),"OK",IF(SUM($H158:$S158)=0,"Sem detalhe",IF(AND(OR(SUM($H158:$I158)=$D158,SUM($H158:$I158)=0),OR(SUM($J158:$K158)=$D158,SUM($J158:$K158)=0),OR(SUM($L158:$S158)=$D158,SUM($L158:$S158)=0)),"OK","Verificar: "&amp;IF(AND(SUM($H158:$I158)&lt;&gt;$D158,SUM($H158:$I158)&lt;&gt;0),"perfil ","")&amp;IF(AND(SUM($J158:$K158)&lt;&gt;$D158,SUM($J158:$K158)&lt;&gt;0),"gênero ","")&amp;IF(AND(SUM($L158:$S158)&lt;&gt;$D158,SUM($L158:$S158)&lt;&gt;0),"professor","")))))</f>
        <v/>
      </c>
      <c r="U158" s="5" t="n"/>
    </row>
    <row r="159" ht="18" customHeight="1">
      <c r="A159" s="3" t="n">
        <v>46211</v>
      </c>
      <c r="B159" s="4">
        <f>IF($A159="","",CHOOSE(MONTH($A159),"Janeiro","Fevereiro","Março","Abril","Maio","Junho","Julho","Agosto","Setembro","Outubro","Novembro","Dezembro"))</f>
        <v/>
      </c>
      <c r="C159" s="4">
        <f>IF($A159="","",CHOOSE(WEEKDAY($A159),"Domingo","Segunda-feira","Terça-feira","Quarta-feira","Quinta-feira","Sexta-feira","Sábado"))</f>
        <v/>
      </c>
      <c r="D159" s="5" t="n">
        <v>3</v>
      </c>
      <c r="E159" s="6">
        <f>IFERROR(INDEX(Consolidado_Mensal!$B$2:$B$12,MATCH($B159,Consolidado_Mensal!$A$2:$A$12,0)),"")</f>
        <v/>
      </c>
      <c r="F159" s="7">
        <f>IF($E159="","",SUMIFS($D$2:$D159,$B$2:$B159,$B159)/$E159)</f>
        <v/>
      </c>
      <c r="G159" s="6">
        <f>IF($E159="","",MAX(0,$E159-SUMIFS($D$2:$D159,$B$2:$B159,$B159)))</f>
        <v/>
      </c>
      <c r="H159" s="5" t="n">
        <v>3</v>
      </c>
      <c r="I159" s="5" t="n"/>
      <c r="J159" s="5" t="n">
        <v>1</v>
      </c>
      <c r="K159" s="5" t="n">
        <v>2</v>
      </c>
      <c r="L159" s="5" t="n">
        <v>1</v>
      </c>
      <c r="M159" s="5" t="n">
        <v>2</v>
      </c>
      <c r="N159" s="5" t="n"/>
      <c r="O159" s="5" t="n"/>
      <c r="P159" s="5" t="n"/>
      <c r="Q159" s="5" t="n"/>
      <c r="R159" s="5" t="n"/>
      <c r="S159" s="5" t="n"/>
      <c r="T159" s="6">
        <f>IF($D159="","",IF(AND($D159=0,SUM($H159:$S159)=0),"OK",IF(SUM($H159:$S159)=0,"Sem detalhe",IF(AND(OR(SUM($H159:$I159)=$D159,SUM($H159:$I159)=0),OR(SUM($J159:$K159)=$D159,SUM($J159:$K159)=0),OR(SUM($L159:$S159)=$D159,SUM($L159:$S159)=0)),"OK","Verificar: "&amp;IF(AND(SUM($H159:$I159)&lt;&gt;$D159,SUM($H159:$I159)&lt;&gt;0),"perfil ","")&amp;IF(AND(SUM($J159:$K159)&lt;&gt;$D159,SUM($J159:$K159)&lt;&gt;0),"gênero ","")&amp;IF(AND(SUM($L159:$S159)&lt;&gt;$D159,SUM($L159:$S159)&lt;&gt;0),"professor","")))))</f>
        <v/>
      </c>
      <c r="U159" s="5" t="n"/>
    </row>
    <row r="160" ht="18" customHeight="1">
      <c r="A160" s="3" t="n">
        <v>46212</v>
      </c>
      <c r="B160" s="4">
        <f>IF($A160="","",CHOOSE(MONTH($A160),"Janeiro","Fevereiro","Março","Abril","Maio","Junho","Julho","Agosto","Setembro","Outubro","Novembro","Dezembro"))</f>
        <v/>
      </c>
      <c r="C160" s="4">
        <f>IF($A160="","",CHOOSE(WEEKDAY($A160),"Domingo","Segunda-feira","Terça-feira","Quarta-feira","Quinta-feira","Sexta-feira","Sábado"))</f>
        <v/>
      </c>
      <c r="D160" s="5" t="n"/>
      <c r="E160" s="6">
        <f>IFERROR(INDEX(Consolidado_Mensal!$B$2:$B$12,MATCH($B160,Consolidado_Mensal!$A$2:$A$12,0)),"")</f>
        <v/>
      </c>
      <c r="F160" s="7">
        <f>IF($E160="","",SUMIFS($D$2:$D160,$B$2:$B160,$B160)/$E160)</f>
        <v/>
      </c>
      <c r="G160" s="6">
        <f>IF($E160="","",MAX(0,$E160-SUMIFS($D$2:$D160,$B$2:$B160,$B160)))</f>
        <v/>
      </c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6">
        <f>IF($D160="","",IF(AND($D160=0,SUM($H160:$S160)=0),"OK",IF(SUM($H160:$S160)=0,"Sem detalhe",IF(AND(OR(SUM($H160:$I160)=$D160,SUM($H160:$I160)=0),OR(SUM($J160:$K160)=$D160,SUM($J160:$K160)=0),OR(SUM($L160:$S160)=$D160,SUM($L160:$S160)=0)),"OK","Verificar: "&amp;IF(AND(SUM($H160:$I160)&lt;&gt;$D160,SUM($H160:$I160)&lt;&gt;0),"perfil ","")&amp;IF(AND(SUM($J160:$K160)&lt;&gt;$D160,SUM($J160:$K160)&lt;&gt;0),"gênero ","")&amp;IF(AND(SUM($L160:$S160)&lt;&gt;$D160,SUM($L160:$S160)&lt;&gt;0),"professor","")))))</f>
        <v/>
      </c>
      <c r="U160" s="5" t="n"/>
    </row>
    <row r="161" ht="18" customHeight="1">
      <c r="A161" s="3" t="n">
        <v>46213</v>
      </c>
      <c r="B161" s="4">
        <f>IF($A161="","",CHOOSE(MONTH($A161),"Janeiro","Fevereiro","Março","Abril","Maio","Junho","Julho","Agosto","Setembro","Outubro","Novembro","Dezembro"))</f>
        <v/>
      </c>
      <c r="C161" s="4">
        <f>IF($A161="","",CHOOSE(WEEKDAY($A161),"Domingo","Segunda-feira","Terça-feira","Quarta-feira","Quinta-feira","Sexta-feira","Sábado"))</f>
        <v/>
      </c>
      <c r="D161" s="5" t="n"/>
      <c r="E161" s="6">
        <f>IFERROR(INDEX(Consolidado_Mensal!$B$2:$B$12,MATCH($B161,Consolidado_Mensal!$A$2:$A$12,0)),"")</f>
        <v/>
      </c>
      <c r="F161" s="7">
        <f>IF($E161="","",SUMIFS($D$2:$D161,$B$2:$B161,$B161)/$E161)</f>
        <v/>
      </c>
      <c r="G161" s="6">
        <f>IF($E161="","",MAX(0,$E161-SUMIFS($D$2:$D161,$B$2:$B161,$B161)))</f>
        <v/>
      </c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6">
        <f>IF($D161="","",IF(AND($D161=0,SUM($H161:$S161)=0),"OK",IF(SUM($H161:$S161)=0,"Sem detalhe",IF(AND(OR(SUM($H161:$I161)=$D161,SUM($H161:$I161)=0),OR(SUM($J161:$K161)=$D161,SUM($J161:$K161)=0),OR(SUM($L161:$S161)=$D161,SUM($L161:$S161)=0)),"OK","Verificar: "&amp;IF(AND(SUM($H161:$I161)&lt;&gt;$D161,SUM($H161:$I161)&lt;&gt;0),"perfil ","")&amp;IF(AND(SUM($J161:$K161)&lt;&gt;$D161,SUM($J161:$K161)&lt;&gt;0),"gênero ","")&amp;IF(AND(SUM($L161:$S161)&lt;&gt;$D161,SUM($L161:$S161)&lt;&gt;0),"professor","")))))</f>
        <v/>
      </c>
      <c r="U161" s="5" t="n"/>
    </row>
    <row r="162" ht="18" customHeight="1">
      <c r="A162" s="3" t="n">
        <v>46214</v>
      </c>
      <c r="B162" s="4">
        <f>IF($A162="","",CHOOSE(MONTH($A162),"Janeiro","Fevereiro","Março","Abril","Maio","Junho","Julho","Agosto","Setembro","Outubro","Novembro","Dezembro"))</f>
        <v/>
      </c>
      <c r="C162" s="4">
        <f>IF($A162="","",CHOOSE(WEEKDAY($A162),"Domingo","Segunda-feira","Terça-feira","Quarta-feira","Quinta-feira","Sexta-feira","Sábado"))</f>
        <v/>
      </c>
      <c r="D162" s="5" t="n"/>
      <c r="E162" s="6">
        <f>IFERROR(INDEX(Consolidado_Mensal!$B$2:$B$12,MATCH($B162,Consolidado_Mensal!$A$2:$A$12,0)),"")</f>
        <v/>
      </c>
      <c r="F162" s="7">
        <f>IF($E162="","",SUMIFS($D$2:$D162,$B$2:$B162,$B162)/$E162)</f>
        <v/>
      </c>
      <c r="G162" s="6">
        <f>IF($E162="","",MAX(0,$E162-SUMIFS($D$2:$D162,$B$2:$B162,$B162)))</f>
        <v/>
      </c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6">
        <f>IF($D162="","",IF(AND($D162=0,SUM($H162:$S162)=0),"OK",IF(SUM($H162:$S162)=0,"Sem detalhe",IF(AND(OR(SUM($H162:$I162)=$D162,SUM($H162:$I162)=0),OR(SUM($J162:$K162)=$D162,SUM($J162:$K162)=0),OR(SUM($L162:$S162)=$D162,SUM($L162:$S162)=0)),"OK","Verificar: "&amp;IF(AND(SUM($H162:$I162)&lt;&gt;$D162,SUM($H162:$I162)&lt;&gt;0),"perfil ","")&amp;IF(AND(SUM($J162:$K162)&lt;&gt;$D162,SUM($J162:$K162)&lt;&gt;0),"gênero ","")&amp;IF(AND(SUM($L162:$S162)&lt;&gt;$D162,SUM($L162:$S162)&lt;&gt;0),"professor","")))))</f>
        <v/>
      </c>
      <c r="U162" s="5" t="n"/>
    </row>
    <row r="163" ht="18" customHeight="1">
      <c r="A163" s="3" t="n">
        <v>46215</v>
      </c>
      <c r="B163" s="4">
        <f>IF($A163="","",CHOOSE(MONTH($A163),"Janeiro","Fevereiro","Março","Abril","Maio","Junho","Julho","Agosto","Setembro","Outubro","Novembro","Dezembro"))</f>
        <v/>
      </c>
      <c r="C163" s="4">
        <f>IF($A163="","",CHOOSE(WEEKDAY($A163),"Domingo","Segunda-feira","Terça-feira","Quarta-feira","Quinta-feira","Sexta-feira","Sábado"))</f>
        <v/>
      </c>
      <c r="D163" s="5" t="n"/>
      <c r="E163" s="6">
        <f>IFERROR(INDEX(Consolidado_Mensal!$B$2:$B$12,MATCH($B163,Consolidado_Mensal!$A$2:$A$12,0)),"")</f>
        <v/>
      </c>
      <c r="F163" s="7">
        <f>IF($E163="","",SUMIFS($D$2:$D163,$B$2:$B163,$B163)/$E163)</f>
        <v/>
      </c>
      <c r="G163" s="6">
        <f>IF($E163="","",MAX(0,$E163-SUMIFS($D$2:$D163,$B$2:$B163,$B163)))</f>
        <v/>
      </c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6">
        <f>IF($D163="","",IF(AND($D163=0,SUM($H163:$S163)=0),"OK",IF(SUM($H163:$S163)=0,"Sem detalhe",IF(AND(OR(SUM($H163:$I163)=$D163,SUM($H163:$I163)=0),OR(SUM($J163:$K163)=$D163,SUM($J163:$K163)=0),OR(SUM($L163:$S163)=$D163,SUM($L163:$S163)=0)),"OK","Verificar: "&amp;IF(AND(SUM($H163:$I163)&lt;&gt;$D163,SUM($H163:$I163)&lt;&gt;0),"perfil ","")&amp;IF(AND(SUM($J163:$K163)&lt;&gt;$D163,SUM($J163:$K163)&lt;&gt;0),"gênero ","")&amp;IF(AND(SUM($L163:$S163)&lt;&gt;$D163,SUM($L163:$S163)&lt;&gt;0),"professor","")))))</f>
        <v/>
      </c>
      <c r="U163" s="5" t="n"/>
    </row>
    <row r="164" ht="18" customHeight="1">
      <c r="A164" s="3" t="n">
        <v>46216</v>
      </c>
      <c r="B164" s="4">
        <f>IF($A164="","",CHOOSE(MONTH($A164),"Janeiro","Fevereiro","Março","Abril","Maio","Junho","Julho","Agosto","Setembro","Outubro","Novembro","Dezembro"))</f>
        <v/>
      </c>
      <c r="C164" s="4">
        <f>IF($A164="","",CHOOSE(WEEKDAY($A164),"Domingo","Segunda-feira","Terça-feira","Quarta-feira","Quinta-feira","Sexta-feira","Sábado"))</f>
        <v/>
      </c>
      <c r="D164" s="5" t="n">
        <v>1</v>
      </c>
      <c r="E164" s="6">
        <f>IFERROR(INDEX(Consolidado_Mensal!$B$2:$B$12,MATCH($B164,Consolidado_Mensal!$A$2:$A$12,0)),"")</f>
        <v/>
      </c>
      <c r="F164" s="7">
        <f>IF($E164="","",SUMIFS($D$2:$D164,$B$2:$B164,$B164)/$E164)</f>
        <v/>
      </c>
      <c r="G164" s="6">
        <f>IF($E164="","",MAX(0,$E164-SUMIFS($D$2:$D164,$B$2:$B164,$B164)))</f>
        <v/>
      </c>
      <c r="H164" s="5" t="n">
        <v>1</v>
      </c>
      <c r="I164" s="5" t="n"/>
      <c r="J164" s="5" t="n"/>
      <c r="K164" s="5" t="n">
        <v>1</v>
      </c>
      <c r="L164" s="5" t="n"/>
      <c r="M164" s="5" t="n">
        <v>1</v>
      </c>
      <c r="N164" s="5" t="n"/>
      <c r="O164" s="5" t="n"/>
      <c r="P164" s="5" t="n"/>
      <c r="Q164" s="5" t="n"/>
      <c r="R164" s="5" t="n"/>
      <c r="S164" s="5" t="n"/>
      <c r="T164" s="6">
        <f>IF($D164="","",IF(AND($D164=0,SUM($H164:$S164)=0),"OK",IF(SUM($H164:$S164)=0,"Sem detalhe",IF(AND(OR(SUM($H164:$I164)=$D164,SUM($H164:$I164)=0),OR(SUM($J164:$K164)=$D164,SUM($J164:$K164)=0),OR(SUM($L164:$S164)=$D164,SUM($L164:$S164)=0)),"OK","Verificar: "&amp;IF(AND(SUM($H164:$I164)&lt;&gt;$D164,SUM($H164:$I164)&lt;&gt;0),"perfil ","")&amp;IF(AND(SUM($J164:$K164)&lt;&gt;$D164,SUM($J164:$K164)&lt;&gt;0),"gênero ","")&amp;IF(AND(SUM($L164:$S164)&lt;&gt;$D164,SUM($L164:$S164)&lt;&gt;0),"professor","")))))</f>
        <v/>
      </c>
      <c r="U164" s="5" t="n"/>
    </row>
    <row r="165" ht="18" customHeight="1">
      <c r="A165" s="3" t="n">
        <v>46217</v>
      </c>
      <c r="B165" s="4">
        <f>IF($A165="","",CHOOSE(MONTH($A165),"Janeiro","Fevereiro","Março","Abril","Maio","Junho","Julho","Agosto","Setembro","Outubro","Novembro","Dezembro"))</f>
        <v/>
      </c>
      <c r="C165" s="4">
        <f>IF($A165="","",CHOOSE(WEEKDAY($A165),"Domingo","Segunda-feira","Terça-feira","Quarta-feira","Quinta-feira","Sexta-feira","Sábado"))</f>
        <v/>
      </c>
      <c r="D165" s="5" t="n">
        <v>1</v>
      </c>
      <c r="E165" s="6">
        <f>IFERROR(INDEX(Consolidado_Mensal!$B$2:$B$12,MATCH($B165,Consolidado_Mensal!$A$2:$A$12,0)),"")</f>
        <v/>
      </c>
      <c r="F165" s="7">
        <f>IF($E165="","",SUMIFS($D$2:$D165,$B$2:$B165,$B165)/$E165)</f>
        <v/>
      </c>
      <c r="G165" s="6">
        <f>IF($E165="","",MAX(0,$E165-SUMIFS($D$2:$D165,$B$2:$B165,$B165)))</f>
        <v/>
      </c>
      <c r="H165" s="5" t="n"/>
      <c r="I165" s="5" t="n">
        <v>1</v>
      </c>
      <c r="J165" s="5" t="n"/>
      <c r="K165" s="5" t="n">
        <v>1</v>
      </c>
      <c r="L165" s="5" t="n"/>
      <c r="M165" s="5" t="n"/>
      <c r="N165" s="5" t="n"/>
      <c r="O165" s="5" t="n">
        <v>1</v>
      </c>
      <c r="P165" s="5" t="n"/>
      <c r="Q165" s="5" t="n"/>
      <c r="R165" s="5" t="n"/>
      <c r="S165" s="5" t="n"/>
      <c r="T165" s="6">
        <f>IF($D165="","",IF(AND($D165=0,SUM($H165:$S165)=0),"OK",IF(SUM($H165:$S165)=0,"Sem detalhe",IF(AND(OR(SUM($H165:$I165)=$D165,SUM($H165:$I165)=0),OR(SUM($J165:$K165)=$D165,SUM($J165:$K165)=0),OR(SUM($L165:$S165)=$D165,SUM($L165:$S165)=0)),"OK","Verificar: "&amp;IF(AND(SUM($H165:$I165)&lt;&gt;$D165,SUM($H165:$I165)&lt;&gt;0),"perfil ","")&amp;IF(AND(SUM($J165:$K165)&lt;&gt;$D165,SUM($J165:$K165)&lt;&gt;0),"gênero ","")&amp;IF(AND(SUM($L165:$S165)&lt;&gt;$D165,SUM($L165:$S165)&lt;&gt;0),"professor","")))))</f>
        <v/>
      </c>
      <c r="U165" s="5" t="n"/>
    </row>
    <row r="166" ht="18" customHeight="1">
      <c r="A166" s="3" t="n">
        <v>46218</v>
      </c>
      <c r="B166" s="4">
        <f>IF($A166="","",CHOOSE(MONTH($A166),"Janeiro","Fevereiro","Março","Abril","Maio","Junho","Julho","Agosto","Setembro","Outubro","Novembro","Dezembro"))</f>
        <v/>
      </c>
      <c r="C166" s="4">
        <f>IF($A166="","",CHOOSE(WEEKDAY($A166),"Domingo","Segunda-feira","Terça-feira","Quarta-feira","Quinta-feira","Sexta-feira","Sábado"))</f>
        <v/>
      </c>
      <c r="D166" s="5" t="n">
        <v>1</v>
      </c>
      <c r="E166" s="6">
        <f>IFERROR(INDEX(Consolidado_Mensal!$B$2:$B$12,MATCH($B166,Consolidado_Mensal!$A$2:$A$12,0)),"")</f>
        <v/>
      </c>
      <c r="F166" s="7">
        <f>IF($E166="","",SUMIFS($D$2:$D166,$B$2:$B166,$B166)/$E166)</f>
        <v/>
      </c>
      <c r="G166" s="6">
        <f>IF($E166="","",MAX(0,$E166-SUMIFS($D$2:$D166,$B$2:$B166,$B166)))</f>
        <v/>
      </c>
      <c r="H166" s="5" t="n"/>
      <c r="I166" s="5" t="n">
        <v>1</v>
      </c>
      <c r="J166" s="5" t="n"/>
      <c r="K166" s="5" t="n">
        <v>1</v>
      </c>
      <c r="L166" s="5" t="n">
        <v>1</v>
      </c>
      <c r="M166" s="5" t="n"/>
      <c r="N166" s="5" t="n"/>
      <c r="O166" s="5" t="n"/>
      <c r="P166" s="5" t="n"/>
      <c r="Q166" s="5" t="n"/>
      <c r="R166" s="5" t="n"/>
      <c r="S166" s="5" t="n"/>
      <c r="T166" s="6">
        <f>IF($D166="","",IF(AND($D166=0,SUM($H166:$S166)=0),"OK",IF(SUM($H166:$S166)=0,"Sem detalhe",IF(AND(OR(SUM($H166:$I166)=$D166,SUM($H166:$I166)=0),OR(SUM($J166:$K166)=$D166,SUM($J166:$K166)=0),OR(SUM($L166:$S166)=$D166,SUM($L166:$S166)=0)),"OK","Verificar: "&amp;IF(AND(SUM($H166:$I166)&lt;&gt;$D166,SUM($H166:$I166)&lt;&gt;0),"perfil ","")&amp;IF(AND(SUM($J166:$K166)&lt;&gt;$D166,SUM($J166:$K166)&lt;&gt;0),"gênero ","")&amp;IF(AND(SUM($L166:$S166)&lt;&gt;$D166,SUM($L166:$S166)&lt;&gt;0),"professor","")))))</f>
        <v/>
      </c>
      <c r="U166" s="5" t="n"/>
    </row>
    <row r="167" ht="18" customHeight="1">
      <c r="A167" s="3" t="n">
        <v>46219</v>
      </c>
      <c r="B167" s="4">
        <f>IF($A167="","",CHOOSE(MONTH($A167),"Janeiro","Fevereiro","Março","Abril","Maio","Junho","Julho","Agosto","Setembro","Outubro","Novembro","Dezembro"))</f>
        <v/>
      </c>
      <c r="C167" s="4">
        <f>IF($A167="","",CHOOSE(WEEKDAY($A167),"Domingo","Segunda-feira","Terça-feira","Quarta-feira","Quinta-feira","Sexta-feira","Sábado"))</f>
        <v/>
      </c>
      <c r="D167" s="5" t="n">
        <v>1</v>
      </c>
      <c r="E167" s="6">
        <f>IFERROR(INDEX(Consolidado_Mensal!$B$2:$B$12,MATCH($B167,Consolidado_Mensal!$A$2:$A$12,0)),"")</f>
        <v/>
      </c>
      <c r="F167" s="7">
        <f>IF($E167="","",SUMIFS($D$2:$D167,$B$2:$B167,$B167)/$E167)</f>
        <v/>
      </c>
      <c r="G167" s="6">
        <f>IF($E167="","",MAX(0,$E167-SUMIFS($D$2:$D167,$B$2:$B167,$B167)))</f>
        <v/>
      </c>
      <c r="H167" s="5" t="n">
        <v>1</v>
      </c>
      <c r="I167" s="5" t="n"/>
      <c r="J167" s="5" t="n"/>
      <c r="K167" s="5" t="n">
        <v>1</v>
      </c>
      <c r="L167" s="5" t="n"/>
      <c r="M167" s="5" t="n"/>
      <c r="N167" s="5" t="n"/>
      <c r="O167" s="5" t="n">
        <v>1</v>
      </c>
      <c r="P167" s="5" t="n"/>
      <c r="Q167" s="5" t="n"/>
      <c r="R167" s="5" t="n"/>
      <c r="S167" s="5" t="n"/>
      <c r="T167" s="6">
        <f>IF($D167="","",IF(AND($D167=0,SUM($H167:$S167)=0),"OK",IF(SUM($H167:$S167)=0,"Sem detalhe",IF(AND(OR(SUM($H167:$I167)=$D167,SUM($H167:$I167)=0),OR(SUM($J167:$K167)=$D167,SUM($J167:$K167)=0),OR(SUM($L167:$S167)=$D167,SUM($L167:$S167)=0)),"OK","Verificar: "&amp;IF(AND(SUM($H167:$I167)&lt;&gt;$D167,SUM($H167:$I167)&lt;&gt;0),"perfil ","")&amp;IF(AND(SUM($J167:$K167)&lt;&gt;$D167,SUM($J167:$K167)&lt;&gt;0),"gênero ","")&amp;IF(AND(SUM($L167:$S167)&lt;&gt;$D167,SUM($L167:$S167)&lt;&gt;0),"professor","")))))</f>
        <v/>
      </c>
      <c r="U167" s="5" t="n"/>
    </row>
    <row r="168" ht="18" customHeight="1">
      <c r="A168" s="3" t="n">
        <v>46220</v>
      </c>
      <c r="B168" s="4">
        <f>IF($A168="","",CHOOSE(MONTH($A168),"Janeiro","Fevereiro","Março","Abril","Maio","Junho","Julho","Agosto","Setembro","Outubro","Novembro","Dezembro"))</f>
        <v/>
      </c>
      <c r="C168" s="4">
        <f>IF($A168="","",CHOOSE(WEEKDAY($A168),"Domingo","Segunda-feira","Terça-feira","Quarta-feira","Quinta-feira","Sexta-feira","Sábado"))</f>
        <v/>
      </c>
      <c r="D168" s="5" t="n"/>
      <c r="E168" s="6">
        <f>IFERROR(INDEX(Consolidado_Mensal!$B$2:$B$12,MATCH($B168,Consolidado_Mensal!$A$2:$A$12,0)),"")</f>
        <v/>
      </c>
      <c r="F168" s="7">
        <f>IF($E168="","",SUMIFS($D$2:$D168,$B$2:$B168,$B168)/$E168)</f>
        <v/>
      </c>
      <c r="G168" s="6">
        <f>IF($E168="","",MAX(0,$E168-SUMIFS($D$2:$D168,$B$2:$B168,$B168)))</f>
        <v/>
      </c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6">
        <f>IF($D168="","",IF(AND($D168=0,SUM($H168:$S168)=0),"OK",IF(SUM($H168:$S168)=0,"Sem detalhe",IF(AND(OR(SUM($H168:$I168)=$D168,SUM($H168:$I168)=0),OR(SUM($J168:$K168)=$D168,SUM($J168:$K168)=0),OR(SUM($L168:$S168)=$D168,SUM($L168:$S168)=0)),"OK","Verificar: "&amp;IF(AND(SUM($H168:$I168)&lt;&gt;$D168,SUM($H168:$I168)&lt;&gt;0),"perfil ","")&amp;IF(AND(SUM($J168:$K168)&lt;&gt;$D168,SUM($J168:$K168)&lt;&gt;0),"gênero ","")&amp;IF(AND(SUM($L168:$S168)&lt;&gt;$D168,SUM($L168:$S168)&lt;&gt;0),"professor","")))))</f>
        <v/>
      </c>
      <c r="U168" s="5" t="n"/>
    </row>
    <row r="169" ht="18" customHeight="1">
      <c r="A169" s="3" t="n">
        <v>46221</v>
      </c>
      <c r="B169" s="4">
        <f>IF($A169="","",CHOOSE(MONTH($A169),"Janeiro","Fevereiro","Março","Abril","Maio","Junho","Julho","Agosto","Setembro","Outubro","Novembro","Dezembro"))</f>
        <v/>
      </c>
      <c r="C169" s="4">
        <f>IF($A169="","",CHOOSE(WEEKDAY($A169),"Domingo","Segunda-feira","Terça-feira","Quarta-feira","Quinta-feira","Sexta-feira","Sábado"))</f>
        <v/>
      </c>
      <c r="D169" s="5" t="n"/>
      <c r="E169" s="6">
        <f>IFERROR(INDEX(Consolidado_Mensal!$B$2:$B$12,MATCH($B169,Consolidado_Mensal!$A$2:$A$12,0)),"")</f>
        <v/>
      </c>
      <c r="F169" s="7">
        <f>IF($E169="","",SUMIFS($D$2:$D169,$B$2:$B169,$B169)/$E169)</f>
        <v/>
      </c>
      <c r="G169" s="6">
        <f>IF($E169="","",MAX(0,$E169-SUMIFS($D$2:$D169,$B$2:$B169,$B169)))</f>
        <v/>
      </c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6">
        <f>IF($D169="","",IF(AND($D169=0,SUM($H169:$S169)=0),"OK",IF(SUM($H169:$S169)=0,"Sem detalhe",IF(AND(OR(SUM($H169:$I169)=$D169,SUM($H169:$I169)=0),OR(SUM($J169:$K169)=$D169,SUM($J169:$K169)=0),OR(SUM($L169:$S169)=$D169,SUM($L169:$S169)=0)),"OK","Verificar: "&amp;IF(AND(SUM($H169:$I169)&lt;&gt;$D169,SUM($H169:$I169)&lt;&gt;0),"perfil ","")&amp;IF(AND(SUM($J169:$K169)&lt;&gt;$D169,SUM($J169:$K169)&lt;&gt;0),"gênero ","")&amp;IF(AND(SUM($L169:$S169)&lt;&gt;$D169,SUM($L169:$S169)&lt;&gt;0),"professor","")))))</f>
        <v/>
      </c>
      <c r="U169" s="5" t="n"/>
    </row>
    <row r="170" ht="18" customHeight="1">
      <c r="A170" s="3" t="n">
        <v>46222</v>
      </c>
      <c r="B170" s="4">
        <f>IF($A170="","",CHOOSE(MONTH($A170),"Janeiro","Fevereiro","Março","Abril","Maio","Junho","Julho","Agosto","Setembro","Outubro","Novembro","Dezembro"))</f>
        <v/>
      </c>
      <c r="C170" s="4">
        <f>IF($A170="","",CHOOSE(WEEKDAY($A170),"Domingo","Segunda-feira","Terça-feira","Quarta-feira","Quinta-feira","Sexta-feira","Sábado"))</f>
        <v/>
      </c>
      <c r="D170" s="5" t="n"/>
      <c r="E170" s="6">
        <f>IFERROR(INDEX(Consolidado_Mensal!$B$2:$B$12,MATCH($B170,Consolidado_Mensal!$A$2:$A$12,0)),"")</f>
        <v/>
      </c>
      <c r="F170" s="7">
        <f>IF($E170="","",SUMIFS($D$2:$D170,$B$2:$B170,$B170)/$E170)</f>
        <v/>
      </c>
      <c r="G170" s="6">
        <f>IF($E170="","",MAX(0,$E170-SUMIFS($D$2:$D170,$B$2:$B170,$B170)))</f>
        <v/>
      </c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6">
        <f>IF($D170="","",IF(AND($D170=0,SUM($H170:$S170)=0),"OK",IF(SUM($H170:$S170)=0,"Sem detalhe",IF(AND(OR(SUM($H170:$I170)=$D170,SUM($H170:$I170)=0),OR(SUM($J170:$K170)=$D170,SUM($J170:$K170)=0),OR(SUM($L170:$S170)=$D170,SUM($L170:$S170)=0)),"OK","Verificar: "&amp;IF(AND(SUM($H170:$I170)&lt;&gt;$D170,SUM($H170:$I170)&lt;&gt;0),"perfil ","")&amp;IF(AND(SUM($J170:$K170)&lt;&gt;$D170,SUM($J170:$K170)&lt;&gt;0),"gênero ","")&amp;IF(AND(SUM($L170:$S170)&lt;&gt;$D170,SUM($L170:$S170)&lt;&gt;0),"professor","")))))</f>
        <v/>
      </c>
      <c r="U170" s="5" t="n"/>
    </row>
    <row r="171" ht="18" customHeight="1">
      <c r="A171" s="3" t="n">
        <v>46223</v>
      </c>
      <c r="B171" s="4">
        <f>IF($A171="","",CHOOSE(MONTH($A171),"Janeiro","Fevereiro","Março","Abril","Maio","Junho","Julho","Agosto","Setembro","Outubro","Novembro","Dezembro"))</f>
        <v/>
      </c>
      <c r="C171" s="4">
        <f>IF($A171="","",CHOOSE(WEEKDAY($A171),"Domingo","Segunda-feira","Terça-feira","Quarta-feira","Quinta-feira","Sexta-feira","Sábado"))</f>
        <v/>
      </c>
      <c r="D171" s="5" t="n"/>
      <c r="E171" s="6">
        <f>IFERROR(INDEX(Consolidado_Mensal!$B$2:$B$12,MATCH($B171,Consolidado_Mensal!$A$2:$A$12,0)),"")</f>
        <v/>
      </c>
      <c r="F171" s="7">
        <f>IF($E171="","",SUMIFS($D$2:$D171,$B$2:$B171,$B171)/$E171)</f>
        <v/>
      </c>
      <c r="G171" s="6">
        <f>IF($E171="","",MAX(0,$E171-SUMIFS($D$2:$D171,$B$2:$B171,$B171)))</f>
        <v/>
      </c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6">
        <f>IF($D171="","",IF(AND($D171=0,SUM($H171:$S171)=0),"OK",IF(SUM($H171:$S171)=0,"Sem detalhe",IF(AND(OR(SUM($H171:$I171)=$D171,SUM($H171:$I171)=0),OR(SUM($J171:$K171)=$D171,SUM($J171:$K171)=0),OR(SUM($L171:$S171)=$D171,SUM($L171:$S171)=0)),"OK","Verificar: "&amp;IF(AND(SUM($H171:$I171)&lt;&gt;$D171,SUM($H171:$I171)&lt;&gt;0),"perfil ","")&amp;IF(AND(SUM($J171:$K171)&lt;&gt;$D171,SUM($J171:$K171)&lt;&gt;0),"gênero ","")&amp;IF(AND(SUM($L171:$S171)&lt;&gt;$D171,SUM($L171:$S171)&lt;&gt;0),"professor","")))))</f>
        <v/>
      </c>
      <c r="U171" s="5" t="n"/>
    </row>
    <row r="172" ht="18" customHeight="1">
      <c r="A172" s="3" t="n">
        <v>46224</v>
      </c>
      <c r="B172" s="4">
        <f>IF($A172="","",CHOOSE(MONTH($A172),"Janeiro","Fevereiro","Março","Abril","Maio","Junho","Julho","Agosto","Setembro","Outubro","Novembro","Dezembro"))</f>
        <v/>
      </c>
      <c r="C172" s="4">
        <f>IF($A172="","",CHOOSE(WEEKDAY($A172),"Domingo","Segunda-feira","Terça-feira","Quarta-feira","Quinta-feira","Sexta-feira","Sábado"))</f>
        <v/>
      </c>
      <c r="D172" s="5" t="n"/>
      <c r="E172" s="6">
        <f>IFERROR(INDEX(Consolidado_Mensal!$B$2:$B$12,MATCH($B172,Consolidado_Mensal!$A$2:$A$12,0)),"")</f>
        <v/>
      </c>
      <c r="F172" s="7">
        <f>IF($E172="","",SUMIFS($D$2:$D172,$B$2:$B172,$B172)/$E172)</f>
        <v/>
      </c>
      <c r="G172" s="6">
        <f>IF($E172="","",MAX(0,$E172-SUMIFS($D$2:$D172,$B$2:$B172,$B172)))</f>
        <v/>
      </c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6">
        <f>IF($D172="","",IF(AND($D172=0,SUM($H172:$S172)=0),"OK",IF(SUM($H172:$S172)=0,"Sem detalhe",IF(AND(OR(SUM($H172:$I172)=$D172,SUM($H172:$I172)=0),OR(SUM($J172:$K172)=$D172,SUM($J172:$K172)=0),OR(SUM($L172:$S172)=$D172,SUM($L172:$S172)=0)),"OK","Verificar: "&amp;IF(AND(SUM($H172:$I172)&lt;&gt;$D172,SUM($H172:$I172)&lt;&gt;0),"perfil ","")&amp;IF(AND(SUM($J172:$K172)&lt;&gt;$D172,SUM($J172:$K172)&lt;&gt;0),"gênero ","")&amp;IF(AND(SUM($L172:$S172)&lt;&gt;$D172,SUM($L172:$S172)&lt;&gt;0),"professor","")))))</f>
        <v/>
      </c>
      <c r="U172" s="5" t="n"/>
    </row>
    <row r="173" ht="18" customHeight="1">
      <c r="A173" s="3" t="n">
        <v>46225</v>
      </c>
      <c r="B173" s="4">
        <f>IF($A173="","",CHOOSE(MONTH($A173),"Janeiro","Fevereiro","Março","Abril","Maio","Junho","Julho","Agosto","Setembro","Outubro","Novembro","Dezembro"))</f>
        <v/>
      </c>
      <c r="C173" s="4">
        <f>IF($A173="","",CHOOSE(WEEKDAY($A173),"Domingo","Segunda-feira","Terça-feira","Quarta-feira","Quinta-feira","Sexta-feira","Sábado"))</f>
        <v/>
      </c>
      <c r="D173" s="5" t="n">
        <v>1</v>
      </c>
      <c r="E173" s="6">
        <f>IFERROR(INDEX(Consolidado_Mensal!$B$2:$B$12,MATCH($B173,Consolidado_Mensal!$A$2:$A$12,0)),"")</f>
        <v/>
      </c>
      <c r="F173" s="7">
        <f>IF($E173="","",SUMIFS($D$2:$D173,$B$2:$B173,$B173)/$E173)</f>
        <v/>
      </c>
      <c r="G173" s="6">
        <f>IF($E173="","",MAX(0,$E173-SUMIFS($D$2:$D173,$B$2:$B173,$B173)))</f>
        <v/>
      </c>
      <c r="H173" s="5" t="n"/>
      <c r="I173" s="5" t="n">
        <v>1</v>
      </c>
      <c r="J173" s="5" t="n"/>
      <c r="K173" s="5" t="n">
        <v>1</v>
      </c>
      <c r="L173" s="5" t="n"/>
      <c r="M173" s="5" t="n"/>
      <c r="N173" s="5" t="n"/>
      <c r="O173" s="5" t="n"/>
      <c r="P173" s="5" t="n">
        <v>1</v>
      </c>
      <c r="Q173" s="5" t="n"/>
      <c r="R173" s="5" t="n"/>
      <c r="S173" s="5" t="n"/>
      <c r="T173" s="6">
        <f>IF($D173="","",IF(AND($D173=0,SUM($H173:$S173)=0),"OK",IF(SUM($H173:$S173)=0,"Sem detalhe",IF(AND(OR(SUM($H173:$I173)=$D173,SUM($H173:$I173)=0),OR(SUM($J173:$K173)=$D173,SUM($J173:$K173)=0),OR(SUM($L173:$S173)=$D173,SUM($L173:$S173)=0)),"OK","Verificar: "&amp;IF(AND(SUM($H173:$I173)&lt;&gt;$D173,SUM($H173:$I173)&lt;&gt;0),"perfil ","")&amp;IF(AND(SUM($J173:$K173)&lt;&gt;$D173,SUM($J173:$K173)&lt;&gt;0),"gênero ","")&amp;IF(AND(SUM($L173:$S173)&lt;&gt;$D173,SUM($L173:$S173)&lt;&gt;0),"professor","")))))</f>
        <v/>
      </c>
      <c r="U173" s="5" t="n"/>
    </row>
    <row r="174" ht="18" customHeight="1">
      <c r="A174" s="3" t="n">
        <v>46226</v>
      </c>
      <c r="B174" s="4">
        <f>IF($A174="","",CHOOSE(MONTH($A174),"Janeiro","Fevereiro","Março","Abril","Maio","Junho","Julho","Agosto","Setembro","Outubro","Novembro","Dezembro"))</f>
        <v/>
      </c>
      <c r="C174" s="4">
        <f>IF($A174="","",CHOOSE(WEEKDAY($A174),"Domingo","Segunda-feira","Terça-feira","Quarta-feira","Quinta-feira","Sexta-feira","Sábado"))</f>
        <v/>
      </c>
      <c r="D174" s="5" t="n">
        <v>2</v>
      </c>
      <c r="E174" s="6">
        <f>IFERROR(INDEX(Consolidado_Mensal!$B$2:$B$12,MATCH($B174,Consolidado_Mensal!$A$2:$A$12,0)),"")</f>
        <v/>
      </c>
      <c r="F174" s="7">
        <f>IF($E174="","",SUMIFS($D$2:$D174,$B$2:$B174,$B174)/$E174)</f>
        <v/>
      </c>
      <c r="G174" s="6">
        <f>IF($E174="","",MAX(0,$E174-SUMIFS($D$2:$D174,$B$2:$B174,$B174)))</f>
        <v/>
      </c>
      <c r="H174" s="5" t="n">
        <v>2</v>
      </c>
      <c r="I174" s="5" t="n"/>
      <c r="J174" s="5" t="n"/>
      <c r="K174" s="5" t="n">
        <v>2</v>
      </c>
      <c r="L174" s="5" t="n">
        <v>2</v>
      </c>
      <c r="M174" s="5" t="n"/>
      <c r="N174" s="5" t="n"/>
      <c r="O174" s="5" t="n"/>
      <c r="P174" s="5" t="n"/>
      <c r="Q174" s="5" t="n"/>
      <c r="R174" s="5" t="n"/>
      <c r="S174" s="5" t="n"/>
      <c r="T174" s="6">
        <f>IF($D174="","",IF(AND($D174=0,SUM($H174:$S174)=0),"OK",IF(SUM($H174:$S174)=0,"Sem detalhe",IF(AND(OR(SUM($H174:$I174)=$D174,SUM($H174:$I174)=0),OR(SUM($J174:$K174)=$D174,SUM($J174:$K174)=0),OR(SUM($L174:$S174)=$D174,SUM($L174:$S174)=0)),"OK","Verificar: "&amp;IF(AND(SUM($H174:$I174)&lt;&gt;$D174,SUM($H174:$I174)&lt;&gt;0),"perfil ","")&amp;IF(AND(SUM($J174:$K174)&lt;&gt;$D174,SUM($J174:$K174)&lt;&gt;0),"gênero ","")&amp;IF(AND(SUM($L174:$S174)&lt;&gt;$D174,SUM($L174:$S174)&lt;&gt;0),"professor","")))))</f>
        <v/>
      </c>
      <c r="U174" s="5" t="n"/>
    </row>
    <row r="175" ht="18" customHeight="1">
      <c r="A175" s="3" t="n">
        <v>46227</v>
      </c>
      <c r="B175" s="4">
        <f>IF($A175="","",CHOOSE(MONTH($A175),"Janeiro","Fevereiro","Março","Abril","Maio","Junho","Julho","Agosto","Setembro","Outubro","Novembro","Dezembro"))</f>
        <v/>
      </c>
      <c r="C175" s="4">
        <f>IF($A175="","",CHOOSE(WEEKDAY($A175),"Domingo","Segunda-feira","Terça-feira","Quarta-feira","Quinta-feira","Sexta-feira","Sábado"))</f>
        <v/>
      </c>
      <c r="D175" s="5" t="n"/>
      <c r="E175" s="6">
        <f>IFERROR(INDEX(Consolidado_Mensal!$B$2:$B$12,MATCH($B175,Consolidado_Mensal!$A$2:$A$12,0)),"")</f>
        <v/>
      </c>
      <c r="F175" s="7">
        <f>IF($E175="","",SUMIFS($D$2:$D175,$B$2:$B175,$B175)/$E175)</f>
        <v/>
      </c>
      <c r="G175" s="6">
        <f>IF($E175="","",MAX(0,$E175-SUMIFS($D$2:$D175,$B$2:$B175,$B175)))</f>
        <v/>
      </c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6">
        <f>IF($D175="","",IF(AND($D175=0,SUM($H175:$S175)=0),"OK",IF(SUM($H175:$S175)=0,"Sem detalhe",IF(AND(OR(SUM($H175:$I175)=$D175,SUM($H175:$I175)=0),OR(SUM($J175:$K175)=$D175,SUM($J175:$K175)=0),OR(SUM($L175:$S175)=$D175,SUM($L175:$S175)=0)),"OK","Verificar: "&amp;IF(AND(SUM($H175:$I175)&lt;&gt;$D175,SUM($H175:$I175)&lt;&gt;0),"perfil ","")&amp;IF(AND(SUM($J175:$K175)&lt;&gt;$D175,SUM($J175:$K175)&lt;&gt;0),"gênero ","")&amp;IF(AND(SUM($L175:$S175)&lt;&gt;$D175,SUM($L175:$S175)&lt;&gt;0),"professor","")))))</f>
        <v/>
      </c>
      <c r="U175" s="5" t="n"/>
    </row>
    <row r="176" ht="18" customHeight="1">
      <c r="A176" s="3" t="n">
        <v>46228</v>
      </c>
      <c r="B176" s="4">
        <f>IF($A176="","",CHOOSE(MONTH($A176),"Janeiro","Fevereiro","Março","Abril","Maio","Junho","Julho","Agosto","Setembro","Outubro","Novembro","Dezembro"))</f>
        <v/>
      </c>
      <c r="C176" s="4">
        <f>IF($A176="","",CHOOSE(WEEKDAY($A176),"Domingo","Segunda-feira","Terça-feira","Quarta-feira","Quinta-feira","Sexta-feira","Sábado"))</f>
        <v/>
      </c>
      <c r="D176" s="5" t="n"/>
      <c r="E176" s="6">
        <f>IFERROR(INDEX(Consolidado_Mensal!$B$2:$B$12,MATCH($B176,Consolidado_Mensal!$A$2:$A$12,0)),"")</f>
        <v/>
      </c>
      <c r="F176" s="7">
        <f>IF($E176="","",SUMIFS($D$2:$D176,$B$2:$B176,$B176)/$E176)</f>
        <v/>
      </c>
      <c r="G176" s="6">
        <f>IF($E176="","",MAX(0,$E176-SUMIFS($D$2:$D176,$B$2:$B176,$B176)))</f>
        <v/>
      </c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6">
        <f>IF($D176="","",IF(AND($D176=0,SUM($H176:$S176)=0),"OK",IF(SUM($H176:$S176)=0,"Sem detalhe",IF(AND(OR(SUM($H176:$I176)=$D176,SUM($H176:$I176)=0),OR(SUM($J176:$K176)=$D176,SUM($J176:$K176)=0),OR(SUM($L176:$S176)=$D176,SUM($L176:$S176)=0)),"OK","Verificar: "&amp;IF(AND(SUM($H176:$I176)&lt;&gt;$D176,SUM($H176:$I176)&lt;&gt;0),"perfil ","")&amp;IF(AND(SUM($J176:$K176)&lt;&gt;$D176,SUM($J176:$K176)&lt;&gt;0),"gênero ","")&amp;IF(AND(SUM($L176:$S176)&lt;&gt;$D176,SUM($L176:$S176)&lt;&gt;0),"professor","")))))</f>
        <v/>
      </c>
      <c r="U176" s="5" t="n"/>
    </row>
    <row r="177" ht="18" customHeight="1">
      <c r="A177" s="3" t="n">
        <v>46229</v>
      </c>
      <c r="B177" s="4">
        <f>IF($A177="","",CHOOSE(MONTH($A177),"Janeiro","Fevereiro","Março","Abril","Maio","Junho","Julho","Agosto","Setembro","Outubro","Novembro","Dezembro"))</f>
        <v/>
      </c>
      <c r="C177" s="4">
        <f>IF($A177="","",CHOOSE(WEEKDAY($A177),"Domingo","Segunda-feira","Terça-feira","Quarta-feira","Quinta-feira","Sexta-feira","Sábado"))</f>
        <v/>
      </c>
      <c r="D177" s="5" t="n"/>
      <c r="E177" s="6">
        <f>IFERROR(INDEX(Consolidado_Mensal!$B$2:$B$12,MATCH($B177,Consolidado_Mensal!$A$2:$A$12,0)),"")</f>
        <v/>
      </c>
      <c r="F177" s="7">
        <f>IF($E177="","",SUMIFS($D$2:$D177,$B$2:$B177,$B177)/$E177)</f>
        <v/>
      </c>
      <c r="G177" s="6">
        <f>IF($E177="","",MAX(0,$E177-SUMIFS($D$2:$D177,$B$2:$B177,$B177)))</f>
        <v/>
      </c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6">
        <f>IF($D177="","",IF(AND($D177=0,SUM($H177:$S177)=0),"OK",IF(SUM($H177:$S177)=0,"Sem detalhe",IF(AND(OR(SUM($H177:$I177)=$D177,SUM($H177:$I177)=0),OR(SUM($J177:$K177)=$D177,SUM($J177:$K177)=0),OR(SUM($L177:$S177)=$D177,SUM($L177:$S177)=0)),"OK","Verificar: "&amp;IF(AND(SUM($H177:$I177)&lt;&gt;$D177,SUM($H177:$I177)&lt;&gt;0),"perfil ","")&amp;IF(AND(SUM($J177:$K177)&lt;&gt;$D177,SUM($J177:$K177)&lt;&gt;0),"gênero ","")&amp;IF(AND(SUM($L177:$S177)&lt;&gt;$D177,SUM($L177:$S177)&lt;&gt;0),"professor","")))))</f>
        <v/>
      </c>
      <c r="U177" s="5" t="n"/>
    </row>
    <row r="178" ht="18" customHeight="1">
      <c r="A178" s="3" t="n">
        <v>46230</v>
      </c>
      <c r="B178" s="4">
        <f>IF($A178="","",CHOOSE(MONTH($A178),"Janeiro","Fevereiro","Março","Abril","Maio","Junho","Julho","Agosto","Setembro","Outubro","Novembro","Dezembro"))</f>
        <v/>
      </c>
      <c r="C178" s="4">
        <f>IF($A178="","",CHOOSE(WEEKDAY($A178),"Domingo","Segunda-feira","Terça-feira","Quarta-feira","Quinta-feira","Sexta-feira","Sábado"))</f>
        <v/>
      </c>
      <c r="D178" s="5" t="n">
        <v>2</v>
      </c>
      <c r="E178" s="6">
        <f>IFERROR(INDEX(Consolidado_Mensal!$B$2:$B$12,MATCH($B178,Consolidado_Mensal!$A$2:$A$12,0)),"")</f>
        <v/>
      </c>
      <c r="F178" s="7">
        <f>IF($E178="","",SUMIFS($D$2:$D178,$B$2:$B178,$B178)/$E178)</f>
        <v/>
      </c>
      <c r="G178" s="6">
        <f>IF($E178="","",MAX(0,$E178-SUMIFS($D$2:$D178,$B$2:$B178,$B178)))</f>
        <v/>
      </c>
      <c r="H178" s="5" t="n">
        <v>1</v>
      </c>
      <c r="I178" s="5" t="n">
        <v>1</v>
      </c>
      <c r="J178" s="5" t="n"/>
      <c r="K178" s="5" t="n">
        <v>2</v>
      </c>
      <c r="L178" s="5" t="n">
        <v>2</v>
      </c>
      <c r="M178" s="5" t="n"/>
      <c r="N178" s="5" t="n"/>
      <c r="O178" s="5" t="n"/>
      <c r="P178" s="5" t="n"/>
      <c r="Q178" s="5" t="n"/>
      <c r="R178" s="5" t="n"/>
      <c r="S178" s="5" t="n"/>
      <c r="T178" s="6">
        <f>IF($D178="","",IF(AND($D178=0,SUM($H178:$S178)=0),"OK",IF(SUM($H178:$S178)=0,"Sem detalhe",IF(AND(OR(SUM($H178:$I178)=$D178,SUM($H178:$I178)=0),OR(SUM($J178:$K178)=$D178,SUM($J178:$K178)=0),OR(SUM($L178:$S178)=$D178,SUM($L178:$S178)=0)),"OK","Verificar: "&amp;IF(AND(SUM($H178:$I178)&lt;&gt;$D178,SUM($H178:$I178)&lt;&gt;0),"perfil ","")&amp;IF(AND(SUM($J178:$K178)&lt;&gt;$D178,SUM($J178:$K178)&lt;&gt;0),"gênero ","")&amp;IF(AND(SUM($L178:$S178)&lt;&gt;$D178,SUM($L178:$S178)&lt;&gt;0),"professor","")))))</f>
        <v/>
      </c>
      <c r="U178" s="5" t="n"/>
    </row>
    <row r="179" ht="18" customHeight="1">
      <c r="A179" s="3" t="n">
        <v>46231</v>
      </c>
      <c r="B179" s="4">
        <f>IF($A179="","",CHOOSE(MONTH($A179),"Janeiro","Fevereiro","Março","Abril","Maio","Junho","Julho","Agosto","Setembro","Outubro","Novembro","Dezembro"))</f>
        <v/>
      </c>
      <c r="C179" s="4">
        <f>IF($A179="","",CHOOSE(WEEKDAY($A179),"Domingo","Segunda-feira","Terça-feira","Quarta-feira","Quinta-feira","Sexta-feira","Sábado"))</f>
        <v/>
      </c>
      <c r="D179" s="5" t="n">
        <v>2</v>
      </c>
      <c r="E179" s="6">
        <f>IFERROR(INDEX(Consolidado_Mensal!$B$2:$B$12,MATCH($B179,Consolidado_Mensal!$A$2:$A$12,0)),"")</f>
        <v/>
      </c>
      <c r="F179" s="7">
        <f>IF($E179="","",SUMIFS($D$2:$D179,$B$2:$B179,$B179)/$E179)</f>
        <v/>
      </c>
      <c r="G179" s="6">
        <f>IF($E179="","",MAX(0,$E179-SUMIFS($D$2:$D179,$B$2:$B179,$B179)))</f>
        <v/>
      </c>
      <c r="H179" s="5" t="n">
        <v>1</v>
      </c>
      <c r="I179" s="5" t="n">
        <v>1</v>
      </c>
      <c r="J179" s="5" t="n">
        <v>1</v>
      </c>
      <c r="K179" s="5" t="n">
        <v>1</v>
      </c>
      <c r="L179" s="5" t="n">
        <v>2</v>
      </c>
      <c r="M179" s="5" t="n"/>
      <c r="N179" s="5" t="n"/>
      <c r="O179" s="5" t="n"/>
      <c r="P179" s="5" t="n"/>
      <c r="Q179" s="5" t="n"/>
      <c r="R179" s="5" t="n"/>
      <c r="S179" s="5" t="n"/>
      <c r="T179" s="6">
        <f>IF($D179="","",IF(AND($D179=0,SUM($H179:$S179)=0),"OK",IF(SUM($H179:$S179)=0,"Sem detalhe",IF(AND(OR(SUM($H179:$I179)=$D179,SUM($H179:$I179)=0),OR(SUM($J179:$K179)=$D179,SUM($J179:$K179)=0),OR(SUM($L179:$S179)=$D179,SUM($L179:$S179)=0)),"OK","Verificar: "&amp;IF(AND(SUM($H179:$I179)&lt;&gt;$D179,SUM($H179:$I179)&lt;&gt;0),"perfil ","")&amp;IF(AND(SUM($J179:$K179)&lt;&gt;$D179,SUM($J179:$K179)&lt;&gt;0),"gênero ","")&amp;IF(AND(SUM($L179:$S179)&lt;&gt;$D179,SUM($L179:$S179)&lt;&gt;0),"professor","")))))</f>
        <v/>
      </c>
      <c r="U179" s="5" t="n"/>
    </row>
    <row r="180" ht="18" customHeight="1">
      <c r="A180" s="3" t="n">
        <v>46232</v>
      </c>
      <c r="B180" s="4">
        <f>IF($A180="","",CHOOSE(MONTH($A180),"Janeiro","Fevereiro","Março","Abril","Maio","Junho","Julho","Agosto","Setembro","Outubro","Novembro","Dezembro"))</f>
        <v/>
      </c>
      <c r="C180" s="4">
        <f>IF($A180="","",CHOOSE(WEEKDAY($A180),"Domingo","Segunda-feira","Terça-feira","Quarta-feira","Quinta-feira","Sexta-feira","Sábado"))</f>
        <v/>
      </c>
      <c r="D180" s="5" t="n"/>
      <c r="E180" s="6">
        <f>IFERROR(INDEX(Consolidado_Mensal!$B$2:$B$12,MATCH($B180,Consolidado_Mensal!$A$2:$A$12,0)),"")</f>
        <v/>
      </c>
      <c r="F180" s="7">
        <f>IF($E180="","",SUMIFS($D$2:$D180,$B$2:$B180,$B180)/$E180)</f>
        <v/>
      </c>
      <c r="G180" s="6">
        <f>IF($E180="","",MAX(0,$E180-SUMIFS($D$2:$D180,$B$2:$B180,$B180)))</f>
        <v/>
      </c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6">
        <f>IF($D180="","",IF(AND($D180=0,SUM($H180:$S180)=0),"OK",IF(SUM($H180:$S180)=0,"Sem detalhe",IF(AND(OR(SUM($H180:$I180)=$D180,SUM($H180:$I180)=0),OR(SUM($J180:$K180)=$D180,SUM($J180:$K180)=0),OR(SUM($L180:$S180)=$D180,SUM($L180:$S180)=0)),"OK","Verificar: "&amp;IF(AND(SUM($H180:$I180)&lt;&gt;$D180,SUM($H180:$I180)&lt;&gt;0),"perfil ","")&amp;IF(AND(SUM($J180:$K180)&lt;&gt;$D180,SUM($J180:$K180)&lt;&gt;0),"gênero ","")&amp;IF(AND(SUM($L180:$S180)&lt;&gt;$D180,SUM($L180:$S180)&lt;&gt;0),"professor","")))))</f>
        <v/>
      </c>
      <c r="U180" s="5" t="n"/>
    </row>
    <row r="181" ht="18" customHeight="1">
      <c r="A181" s="3" t="n">
        <v>46233</v>
      </c>
      <c r="B181" s="4">
        <f>IF($A181="","",CHOOSE(MONTH($A181),"Janeiro","Fevereiro","Março","Abril","Maio","Junho","Julho","Agosto","Setembro","Outubro","Novembro","Dezembro"))</f>
        <v/>
      </c>
      <c r="C181" s="4">
        <f>IF($A181="","",CHOOSE(WEEKDAY($A181),"Domingo","Segunda-feira","Terça-feira","Quarta-feira","Quinta-feira","Sexta-feira","Sábado"))</f>
        <v/>
      </c>
      <c r="D181" s="5" t="n"/>
      <c r="E181" s="6">
        <f>IFERROR(INDEX(Consolidado_Mensal!$B$2:$B$12,MATCH($B181,Consolidado_Mensal!$A$2:$A$12,0)),"")</f>
        <v/>
      </c>
      <c r="F181" s="7">
        <f>IF($E181="","",SUMIFS($D$2:$D181,$B$2:$B181,$B181)/$E181)</f>
        <v/>
      </c>
      <c r="G181" s="6">
        <f>IF($E181="","",MAX(0,$E181-SUMIFS($D$2:$D181,$B$2:$B181,$B181)))</f>
        <v/>
      </c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6">
        <f>IF($D181="","",IF(AND($D181=0,SUM($H181:$S181)=0),"OK",IF(SUM($H181:$S181)=0,"Sem detalhe",IF(AND(OR(SUM($H181:$I181)=$D181,SUM($H181:$I181)=0),OR(SUM($J181:$K181)=$D181,SUM($J181:$K181)=0),OR(SUM($L181:$S181)=$D181,SUM($L181:$S181)=0)),"OK","Verificar: "&amp;IF(AND(SUM($H181:$I181)&lt;&gt;$D181,SUM($H181:$I181)&lt;&gt;0),"perfil ","")&amp;IF(AND(SUM($J181:$K181)&lt;&gt;$D181,SUM($J181:$K181)&lt;&gt;0),"gênero ","")&amp;IF(AND(SUM($L181:$S181)&lt;&gt;$D181,SUM($L181:$S181)&lt;&gt;0),"professor","")))))</f>
        <v/>
      </c>
      <c r="U181" s="5" t="n"/>
    </row>
    <row r="182" ht="18" customHeight="1">
      <c r="A182" s="3" t="n">
        <v>46234</v>
      </c>
      <c r="B182" s="4">
        <f>IF($A182="","",CHOOSE(MONTH($A182),"Janeiro","Fevereiro","Março","Abril","Maio","Junho","Julho","Agosto","Setembro","Outubro","Novembro","Dezembro"))</f>
        <v/>
      </c>
      <c r="C182" s="4">
        <f>IF($A182="","",CHOOSE(WEEKDAY($A182),"Domingo","Segunda-feira","Terça-feira","Quarta-feira","Quinta-feira","Sexta-feira","Sábado"))</f>
        <v/>
      </c>
      <c r="D182" s="5" t="n">
        <v>3</v>
      </c>
      <c r="E182" s="6">
        <f>IFERROR(INDEX(Consolidado_Mensal!$B$2:$B$12,MATCH($B182,Consolidado_Mensal!$A$2:$A$12,0)),"")</f>
        <v/>
      </c>
      <c r="F182" s="7">
        <f>IF($E182="","",SUMIFS($D$2:$D182,$B$2:$B182,$B182)/$E182)</f>
        <v/>
      </c>
      <c r="G182" s="6">
        <f>IF($E182="","",MAX(0,$E182-SUMIFS($D$2:$D182,$B$2:$B182,$B182)))</f>
        <v/>
      </c>
      <c r="H182" s="5" t="n">
        <v>3</v>
      </c>
      <c r="I182" s="5" t="n"/>
      <c r="J182" s="5" t="n">
        <v>1</v>
      </c>
      <c r="K182" s="5" t="n">
        <v>2</v>
      </c>
      <c r="L182" s="5" t="n">
        <v>1</v>
      </c>
      <c r="M182" s="5" t="n">
        <v>2</v>
      </c>
      <c r="N182" s="5" t="n"/>
      <c r="O182" s="5" t="n"/>
      <c r="P182" s="5" t="n"/>
      <c r="Q182" s="5" t="n"/>
      <c r="R182" s="5" t="n"/>
      <c r="S182" s="5" t="n"/>
      <c r="T182" s="6">
        <f>IF($D182="","",IF(AND($D182=0,SUM($H182:$S182)=0),"OK",IF(SUM($H182:$S182)=0,"Sem detalhe",IF(AND(OR(SUM($H182:$I182)=$D182,SUM($H182:$I182)=0),OR(SUM($J182:$K182)=$D182,SUM($J182:$K182)=0),OR(SUM($L182:$S182)=$D182,SUM($L182:$S182)=0)),"OK","Verificar: "&amp;IF(AND(SUM($H182:$I182)&lt;&gt;$D182,SUM($H182:$I182)&lt;&gt;0),"perfil ","")&amp;IF(AND(SUM($J182:$K182)&lt;&gt;$D182,SUM($J182:$K182)&lt;&gt;0),"gênero ","")&amp;IF(AND(SUM($L182:$S182)&lt;&gt;$D182,SUM($L182:$S182)&lt;&gt;0),"professor","")))))</f>
        <v/>
      </c>
      <c r="U182" s="5" t="n"/>
    </row>
    <row r="183" ht="18" customHeight="1">
      <c r="A183" s="3" t="n">
        <v>46235</v>
      </c>
      <c r="B183" s="4">
        <f>IF($A183="","",CHOOSE(MONTH($A183),"Janeiro","Fevereiro","Março","Abril","Maio","Junho","Julho","Agosto","Setembro","Outubro","Novembro","Dezembro"))</f>
        <v/>
      </c>
      <c r="C183" s="4">
        <f>IF($A183="","",CHOOSE(WEEKDAY($A183),"Domingo","Segunda-feira","Terça-feira","Quarta-feira","Quinta-feira","Sexta-feira","Sábado"))</f>
        <v/>
      </c>
      <c r="D183" s="5" t="n"/>
      <c r="E183" s="6">
        <f>IFERROR(INDEX(Consolidado_Mensal!$B$2:$B$12,MATCH($B183,Consolidado_Mensal!$A$2:$A$12,0)),"")</f>
        <v/>
      </c>
      <c r="F183" s="7">
        <f>IF($E183="","",SUMIFS($D$2:$D183,$B$2:$B183,$B183)/$E183)</f>
        <v/>
      </c>
      <c r="G183" s="6">
        <f>IF($E183="","",MAX(0,$E183-SUMIFS($D$2:$D183,$B$2:$B183,$B183)))</f>
        <v/>
      </c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6">
        <f>IF($D183="","",IF(AND($D183=0,SUM($H183:$S183)=0),"OK",IF(SUM($H183:$S183)=0,"Sem detalhe",IF(AND(OR(SUM($H183:$I183)=$D183,SUM($H183:$I183)=0),OR(SUM($J183:$K183)=$D183,SUM($J183:$K183)=0),OR(SUM($L183:$S183)=$D183,SUM($L183:$S183)=0)),"OK","Verificar: "&amp;IF(AND(SUM($H183:$I183)&lt;&gt;$D183,SUM($H183:$I183)&lt;&gt;0),"perfil ","")&amp;IF(AND(SUM($J183:$K183)&lt;&gt;$D183,SUM($J183:$K183)&lt;&gt;0),"gênero ","")&amp;IF(AND(SUM($L183:$S183)&lt;&gt;$D183,SUM($L183:$S183)&lt;&gt;0),"professor","")))))</f>
        <v/>
      </c>
      <c r="U183" s="5" t="n"/>
    </row>
    <row r="184" ht="18" customHeight="1">
      <c r="A184" s="3" t="n">
        <v>46236</v>
      </c>
      <c r="B184" s="4">
        <f>IF($A184="","",CHOOSE(MONTH($A184),"Janeiro","Fevereiro","Março","Abril","Maio","Junho","Julho","Agosto","Setembro","Outubro","Novembro","Dezembro"))</f>
        <v/>
      </c>
      <c r="C184" s="4">
        <f>IF($A184="","",CHOOSE(WEEKDAY($A184),"Domingo","Segunda-feira","Terça-feira","Quarta-feira","Quinta-feira","Sexta-feira","Sábado"))</f>
        <v/>
      </c>
      <c r="D184" s="5" t="n"/>
      <c r="E184" s="6">
        <f>IFERROR(INDEX(Consolidado_Mensal!$B$2:$B$12,MATCH($B184,Consolidado_Mensal!$A$2:$A$12,0)),"")</f>
        <v/>
      </c>
      <c r="F184" s="7">
        <f>IF($E184="","",SUMIFS($D$2:$D184,$B$2:$B184,$B184)/$E184)</f>
        <v/>
      </c>
      <c r="G184" s="6">
        <f>IF($E184="","",MAX(0,$E184-SUMIFS($D$2:$D184,$B$2:$B184,$B184)))</f>
        <v/>
      </c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6">
        <f>IF($D184="","",IF(AND($D184=0,SUM($H184:$S184)=0),"OK",IF(SUM($H184:$S184)=0,"Sem detalhe",IF(AND(OR(SUM($H184:$I184)=$D184,SUM($H184:$I184)=0),OR(SUM($J184:$K184)=$D184,SUM($J184:$K184)=0),OR(SUM($L184:$S184)=$D184,SUM($L184:$S184)=0)),"OK","Verificar: "&amp;IF(AND(SUM($H184:$I184)&lt;&gt;$D184,SUM($H184:$I184)&lt;&gt;0),"perfil ","")&amp;IF(AND(SUM($J184:$K184)&lt;&gt;$D184,SUM($J184:$K184)&lt;&gt;0),"gênero ","")&amp;IF(AND(SUM($L184:$S184)&lt;&gt;$D184,SUM($L184:$S184)&lt;&gt;0),"professor","")))))</f>
        <v/>
      </c>
      <c r="U184" s="5" t="n"/>
    </row>
    <row r="185" ht="18" customHeight="1">
      <c r="A185" s="3" t="n">
        <v>46237</v>
      </c>
      <c r="B185" s="4">
        <f>IF($A185="","",CHOOSE(MONTH($A185),"Janeiro","Fevereiro","Março","Abril","Maio","Junho","Julho","Agosto","Setembro","Outubro","Novembro","Dezembro"))</f>
        <v/>
      </c>
      <c r="C185" s="4">
        <f>IF($A185="","",CHOOSE(WEEKDAY($A185),"Domingo","Segunda-feira","Terça-feira","Quarta-feira","Quinta-feira","Sexta-feira","Sábado"))</f>
        <v/>
      </c>
      <c r="D185" s="5" t="n">
        <v>2</v>
      </c>
      <c r="E185" s="6">
        <f>IFERROR(INDEX(Consolidado_Mensal!$B$2:$B$12,MATCH($B185,Consolidado_Mensal!$A$2:$A$12,0)),"")</f>
        <v/>
      </c>
      <c r="F185" s="7">
        <f>IF($E185="","",SUMIFS($D$2:$D185,$B$2:$B185,$B185)/$E185)</f>
        <v/>
      </c>
      <c r="G185" s="6">
        <f>IF($E185="","",MAX(0,$E185-SUMIFS($D$2:$D185,$B$2:$B185,$B185)))</f>
        <v/>
      </c>
      <c r="H185" s="5" t="n"/>
      <c r="I185" s="5" t="n">
        <v>2</v>
      </c>
      <c r="J185" s="5" t="n">
        <v>2</v>
      </c>
      <c r="K185" s="5" t="n"/>
      <c r="L185" s="5" t="n">
        <v>1</v>
      </c>
      <c r="M185" s="5" t="n"/>
      <c r="N185" s="5" t="n">
        <v>1</v>
      </c>
      <c r="O185" s="5" t="n"/>
      <c r="P185" s="5" t="n"/>
      <c r="Q185" s="5" t="n"/>
      <c r="R185" s="5" t="n"/>
      <c r="S185" s="5" t="n"/>
      <c r="T185" s="6">
        <f>IF($D185="","",IF(AND($D185=0,SUM($H185:$S185)=0),"OK",IF(SUM($H185:$S185)=0,"Sem detalhe",IF(AND(OR(SUM($H185:$I185)=$D185,SUM($H185:$I185)=0),OR(SUM($J185:$K185)=$D185,SUM($J185:$K185)=0),OR(SUM($L185:$S185)=$D185,SUM($L185:$S185)=0)),"OK","Verificar: "&amp;IF(AND(SUM($H185:$I185)&lt;&gt;$D185,SUM($H185:$I185)&lt;&gt;0),"perfil ","")&amp;IF(AND(SUM($J185:$K185)&lt;&gt;$D185,SUM($J185:$K185)&lt;&gt;0),"gênero ","")&amp;IF(AND(SUM($L185:$S185)&lt;&gt;$D185,SUM($L185:$S185)&lt;&gt;0),"professor","")))))</f>
        <v/>
      </c>
      <c r="U185" s="5" t="n"/>
    </row>
    <row r="186" ht="18" customHeight="1">
      <c r="A186" s="3" t="n">
        <v>46238</v>
      </c>
      <c r="B186" s="4">
        <f>IF($A186="","",CHOOSE(MONTH($A186),"Janeiro","Fevereiro","Março","Abril","Maio","Junho","Julho","Agosto","Setembro","Outubro","Novembro","Dezembro"))</f>
        <v/>
      </c>
      <c r="C186" s="4">
        <f>IF($A186="","",CHOOSE(WEEKDAY($A186),"Domingo","Segunda-feira","Terça-feira","Quarta-feira","Quinta-feira","Sexta-feira","Sábado"))</f>
        <v/>
      </c>
      <c r="D186" s="5" t="n">
        <v>3</v>
      </c>
      <c r="E186" s="6">
        <f>IFERROR(INDEX(Consolidado_Mensal!$B$2:$B$12,MATCH($B186,Consolidado_Mensal!$A$2:$A$12,0)),"")</f>
        <v/>
      </c>
      <c r="F186" s="7">
        <f>IF($E186="","",SUMIFS($D$2:$D186,$B$2:$B186,$B186)/$E186)</f>
        <v/>
      </c>
      <c r="G186" s="6">
        <f>IF($E186="","",MAX(0,$E186-SUMIFS($D$2:$D186,$B$2:$B186,$B186)))</f>
        <v/>
      </c>
      <c r="H186" s="5" t="n">
        <v>3</v>
      </c>
      <c r="I186" s="5" t="n"/>
      <c r="J186" s="5" t="n">
        <v>1</v>
      </c>
      <c r="K186" s="5" t="n">
        <v>2</v>
      </c>
      <c r="L186" s="5" t="n">
        <v>2</v>
      </c>
      <c r="M186" s="5" t="n">
        <v>1</v>
      </c>
      <c r="N186" s="5" t="n"/>
      <c r="O186" s="5" t="n"/>
      <c r="P186" s="5" t="n"/>
      <c r="Q186" s="5" t="n"/>
      <c r="R186" s="5" t="n"/>
      <c r="S186" s="5" t="n"/>
      <c r="T186" s="6">
        <f>IF($D186="","",IF(AND($D186=0,SUM($H186:$S186)=0),"OK",IF(SUM($H186:$S186)=0,"Sem detalhe",IF(AND(OR(SUM($H186:$I186)=$D186,SUM($H186:$I186)=0),OR(SUM($J186:$K186)=$D186,SUM($J186:$K186)=0),OR(SUM($L186:$S186)=$D186,SUM($L186:$S186)=0)),"OK","Verificar: "&amp;IF(AND(SUM($H186:$I186)&lt;&gt;$D186,SUM($H186:$I186)&lt;&gt;0),"perfil ","")&amp;IF(AND(SUM($J186:$K186)&lt;&gt;$D186,SUM($J186:$K186)&lt;&gt;0),"gênero ","")&amp;IF(AND(SUM($L186:$S186)&lt;&gt;$D186,SUM($L186:$S186)&lt;&gt;0),"professor","")))))</f>
        <v/>
      </c>
      <c r="U186" s="5" t="n"/>
    </row>
    <row r="187" ht="18" customHeight="1">
      <c r="A187" s="3" t="n">
        <v>46239</v>
      </c>
      <c r="B187" s="4">
        <f>IF($A187="","",CHOOSE(MONTH($A187),"Janeiro","Fevereiro","Março","Abril","Maio","Junho","Julho","Agosto","Setembro","Outubro","Novembro","Dezembro"))</f>
        <v/>
      </c>
      <c r="C187" s="4">
        <f>IF($A187="","",CHOOSE(WEEKDAY($A187),"Domingo","Segunda-feira","Terça-feira","Quarta-feira","Quinta-feira","Sexta-feira","Sábado"))</f>
        <v/>
      </c>
      <c r="D187" s="5" t="n">
        <v>1</v>
      </c>
      <c r="E187" s="6">
        <f>IFERROR(INDEX(Consolidado_Mensal!$B$2:$B$12,MATCH($B187,Consolidado_Mensal!$A$2:$A$12,0)),"")</f>
        <v/>
      </c>
      <c r="F187" s="7">
        <f>IF($E187="","",SUMIFS($D$2:$D187,$B$2:$B187,$B187)/$E187)</f>
        <v/>
      </c>
      <c r="G187" s="6">
        <f>IF($E187="","",MAX(0,$E187-SUMIFS($D$2:$D187,$B$2:$B187,$B187)))</f>
        <v/>
      </c>
      <c r="H187" s="5" t="n">
        <v>1</v>
      </c>
      <c r="I187" s="5" t="n"/>
      <c r="J187" s="5" t="n"/>
      <c r="K187" s="5" t="n">
        <v>1</v>
      </c>
      <c r="L187" s="5" t="n"/>
      <c r="M187" s="5" t="n">
        <v>1</v>
      </c>
      <c r="N187" s="5" t="n"/>
      <c r="O187" s="5" t="n"/>
      <c r="P187" s="5" t="n"/>
      <c r="Q187" s="5" t="n"/>
      <c r="R187" s="5" t="n"/>
      <c r="S187" s="5" t="n"/>
      <c r="T187" s="6">
        <f>IF($D187="","",IF(AND($D187=0,SUM($H187:$S187)=0),"OK",IF(SUM($H187:$S187)=0,"Sem detalhe",IF(AND(OR(SUM($H187:$I187)=$D187,SUM($H187:$I187)=0),OR(SUM($J187:$K187)=$D187,SUM($J187:$K187)=0),OR(SUM($L187:$S187)=$D187,SUM($L187:$S187)=0)),"OK","Verificar: "&amp;IF(AND(SUM($H187:$I187)&lt;&gt;$D187,SUM($H187:$I187)&lt;&gt;0),"perfil ","")&amp;IF(AND(SUM($J187:$K187)&lt;&gt;$D187,SUM($J187:$K187)&lt;&gt;0),"gênero ","")&amp;IF(AND(SUM($L187:$S187)&lt;&gt;$D187,SUM($L187:$S187)&lt;&gt;0),"professor","")))))</f>
        <v/>
      </c>
      <c r="U187" s="5" t="n"/>
    </row>
    <row r="188" ht="18" customHeight="1">
      <c r="A188" s="3" t="n">
        <v>46240</v>
      </c>
      <c r="B188" s="4">
        <f>IF($A188="","",CHOOSE(MONTH($A188),"Janeiro","Fevereiro","Março","Abril","Maio","Junho","Julho","Agosto","Setembro","Outubro","Novembro","Dezembro"))</f>
        <v/>
      </c>
      <c r="C188" s="4">
        <f>IF($A188="","",CHOOSE(WEEKDAY($A188),"Domingo","Segunda-feira","Terça-feira","Quarta-feira","Quinta-feira","Sexta-feira","Sábado"))</f>
        <v/>
      </c>
      <c r="D188" s="5" t="n">
        <v>4</v>
      </c>
      <c r="E188" s="6">
        <f>IFERROR(INDEX(Consolidado_Mensal!$B$2:$B$12,MATCH($B188,Consolidado_Mensal!$A$2:$A$12,0)),"")</f>
        <v/>
      </c>
      <c r="F188" s="7">
        <f>IF($E188="","",SUMIFS($D$2:$D188,$B$2:$B188,$B188)/$E188)</f>
        <v/>
      </c>
      <c r="G188" s="6">
        <f>IF($E188="","",MAX(0,$E188-SUMIFS($D$2:$D188,$B$2:$B188,$B188)))</f>
        <v/>
      </c>
      <c r="H188" s="5" t="n"/>
      <c r="I188" s="5" t="n">
        <v>4</v>
      </c>
      <c r="J188" s="5" t="n">
        <v>1</v>
      </c>
      <c r="K188" s="5" t="n">
        <v>3</v>
      </c>
      <c r="L188" s="5" t="n">
        <v>2</v>
      </c>
      <c r="M188" s="5" t="n">
        <v>2</v>
      </c>
      <c r="N188" s="5" t="n"/>
      <c r="O188" s="5" t="n"/>
      <c r="P188" s="5" t="n"/>
      <c r="Q188" s="5" t="n"/>
      <c r="R188" s="5" t="n"/>
      <c r="S188" s="5" t="n"/>
      <c r="T188" s="6">
        <f>IF($D188="","",IF(AND($D188=0,SUM($H188:$S188)=0),"OK",IF(SUM($H188:$S188)=0,"Sem detalhe",IF(AND(OR(SUM($H188:$I188)=$D188,SUM($H188:$I188)=0),OR(SUM($J188:$K188)=$D188,SUM($J188:$K188)=0),OR(SUM($L188:$S188)=$D188,SUM($L188:$S188)=0)),"OK","Verificar: "&amp;IF(AND(SUM($H188:$I188)&lt;&gt;$D188,SUM($H188:$I188)&lt;&gt;0),"perfil ","")&amp;IF(AND(SUM($J188:$K188)&lt;&gt;$D188,SUM($J188:$K188)&lt;&gt;0),"gênero ","")&amp;IF(AND(SUM($L188:$S188)&lt;&gt;$D188,SUM($L188:$S188)&lt;&gt;0),"professor","")))))</f>
        <v/>
      </c>
      <c r="U188" s="5" t="n"/>
    </row>
    <row r="189" ht="18" customHeight="1">
      <c r="A189" s="3" t="n">
        <v>46241</v>
      </c>
      <c r="B189" s="4">
        <f>IF($A189="","",CHOOSE(MONTH($A189),"Janeiro","Fevereiro","Março","Abril","Maio","Junho","Julho","Agosto","Setembro","Outubro","Novembro","Dezembro"))</f>
        <v/>
      </c>
      <c r="C189" s="4">
        <f>IF($A189="","",CHOOSE(WEEKDAY($A189),"Domingo","Segunda-feira","Terça-feira","Quarta-feira","Quinta-feira","Sexta-feira","Sábado"))</f>
        <v/>
      </c>
      <c r="D189" s="5" t="n">
        <v>1</v>
      </c>
      <c r="E189" s="6">
        <f>IFERROR(INDEX(Consolidado_Mensal!$B$2:$B$12,MATCH($B189,Consolidado_Mensal!$A$2:$A$12,0)),"")</f>
        <v/>
      </c>
      <c r="F189" s="7">
        <f>IF($E189="","",SUMIFS($D$2:$D189,$B$2:$B189,$B189)/$E189)</f>
        <v/>
      </c>
      <c r="G189" s="6">
        <f>IF($E189="","",MAX(0,$E189-SUMIFS($D$2:$D189,$B$2:$B189,$B189)))</f>
        <v/>
      </c>
      <c r="H189" s="5" t="n">
        <v>1</v>
      </c>
      <c r="I189" s="5" t="n"/>
      <c r="J189" s="5" t="n">
        <v>1</v>
      </c>
      <c r="K189" s="5" t="n"/>
      <c r="L189" s="5" t="n">
        <v>1</v>
      </c>
      <c r="M189" s="5" t="n"/>
      <c r="N189" s="5" t="n"/>
      <c r="O189" s="5" t="n"/>
      <c r="P189" s="5" t="n"/>
      <c r="Q189" s="5" t="n"/>
      <c r="R189" s="5" t="n"/>
      <c r="S189" s="5" t="n"/>
      <c r="T189" s="6">
        <f>IF($D189="","",IF(AND($D189=0,SUM($H189:$S189)=0),"OK",IF(SUM($H189:$S189)=0,"Sem detalhe",IF(AND(OR(SUM($H189:$I189)=$D189,SUM($H189:$I189)=0),OR(SUM($J189:$K189)=$D189,SUM($J189:$K189)=0),OR(SUM($L189:$S189)=$D189,SUM($L189:$S189)=0)),"OK","Verificar: "&amp;IF(AND(SUM($H189:$I189)&lt;&gt;$D189,SUM($H189:$I189)&lt;&gt;0),"perfil ","")&amp;IF(AND(SUM($J189:$K189)&lt;&gt;$D189,SUM($J189:$K189)&lt;&gt;0),"gênero ","")&amp;IF(AND(SUM($L189:$S189)&lt;&gt;$D189,SUM($L189:$S189)&lt;&gt;0),"professor","")))))</f>
        <v/>
      </c>
      <c r="U189" s="5" t="n"/>
    </row>
    <row r="190" ht="18" customHeight="1">
      <c r="A190" s="3" t="n">
        <v>46242</v>
      </c>
      <c r="B190" s="4">
        <f>IF($A190="","",CHOOSE(MONTH($A190),"Janeiro","Fevereiro","Março","Abril","Maio","Junho","Julho","Agosto","Setembro","Outubro","Novembro","Dezembro"))</f>
        <v/>
      </c>
      <c r="C190" s="4">
        <f>IF($A190="","",CHOOSE(WEEKDAY($A190),"Domingo","Segunda-feira","Terça-feira","Quarta-feira","Quinta-feira","Sexta-feira","Sábado"))</f>
        <v/>
      </c>
      <c r="D190" s="5" t="n"/>
      <c r="E190" s="6">
        <f>IFERROR(INDEX(Consolidado_Mensal!$B$2:$B$12,MATCH($B190,Consolidado_Mensal!$A$2:$A$12,0)),"")</f>
        <v/>
      </c>
      <c r="F190" s="7">
        <f>IF($E190="","",SUMIFS($D$2:$D190,$B$2:$B190,$B190)/$E190)</f>
        <v/>
      </c>
      <c r="G190" s="6">
        <f>IF($E190="","",MAX(0,$E190-SUMIFS($D$2:$D190,$B$2:$B190,$B190)))</f>
        <v/>
      </c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6">
        <f>IF($D190="","",IF(AND($D190=0,SUM($H190:$S190)=0),"OK",IF(SUM($H190:$S190)=0,"Sem detalhe",IF(AND(OR(SUM($H190:$I190)=$D190,SUM($H190:$I190)=0),OR(SUM($J190:$K190)=$D190,SUM($J190:$K190)=0),OR(SUM($L190:$S190)=$D190,SUM($L190:$S190)=0)),"OK","Verificar: "&amp;IF(AND(SUM($H190:$I190)&lt;&gt;$D190,SUM($H190:$I190)&lt;&gt;0),"perfil ","")&amp;IF(AND(SUM($J190:$K190)&lt;&gt;$D190,SUM($J190:$K190)&lt;&gt;0),"gênero ","")&amp;IF(AND(SUM($L190:$S190)&lt;&gt;$D190,SUM($L190:$S190)&lt;&gt;0),"professor","")))))</f>
        <v/>
      </c>
      <c r="U190" s="5" t="n"/>
    </row>
    <row r="191" ht="18" customHeight="1">
      <c r="A191" s="3" t="n">
        <v>46243</v>
      </c>
      <c r="B191" s="4">
        <f>IF($A191="","",CHOOSE(MONTH($A191),"Janeiro","Fevereiro","Março","Abril","Maio","Junho","Julho","Agosto","Setembro","Outubro","Novembro","Dezembro"))</f>
        <v/>
      </c>
      <c r="C191" s="4">
        <f>IF($A191="","",CHOOSE(WEEKDAY($A191),"Domingo","Segunda-feira","Terça-feira","Quarta-feira","Quinta-feira","Sexta-feira","Sábado"))</f>
        <v/>
      </c>
      <c r="D191" s="5" t="n"/>
      <c r="E191" s="6">
        <f>IFERROR(INDEX(Consolidado_Mensal!$B$2:$B$12,MATCH($B191,Consolidado_Mensal!$A$2:$A$12,0)),"")</f>
        <v/>
      </c>
      <c r="F191" s="7">
        <f>IF($E191="","",SUMIFS($D$2:$D191,$B$2:$B191,$B191)/$E191)</f>
        <v/>
      </c>
      <c r="G191" s="6">
        <f>IF($E191="","",MAX(0,$E191-SUMIFS($D$2:$D191,$B$2:$B191,$B191)))</f>
        <v/>
      </c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6">
        <f>IF($D191="","",IF(AND($D191=0,SUM($H191:$S191)=0),"OK",IF(SUM($H191:$S191)=0,"Sem detalhe",IF(AND(OR(SUM($H191:$I191)=$D191,SUM($H191:$I191)=0),OR(SUM($J191:$K191)=$D191,SUM($J191:$K191)=0),OR(SUM($L191:$S191)=$D191,SUM($L191:$S191)=0)),"OK","Verificar: "&amp;IF(AND(SUM($H191:$I191)&lt;&gt;$D191,SUM($H191:$I191)&lt;&gt;0),"perfil ","")&amp;IF(AND(SUM($J191:$K191)&lt;&gt;$D191,SUM($J191:$K191)&lt;&gt;0),"gênero ","")&amp;IF(AND(SUM($L191:$S191)&lt;&gt;$D191,SUM($L191:$S191)&lt;&gt;0),"professor","")))))</f>
        <v/>
      </c>
      <c r="U191" s="5" t="n"/>
    </row>
    <row r="192" ht="18" customHeight="1">
      <c r="A192" s="3" t="n">
        <v>46244</v>
      </c>
      <c r="B192" s="4">
        <f>IF($A192="","",CHOOSE(MONTH($A192),"Janeiro","Fevereiro","Março","Abril","Maio","Junho","Julho","Agosto","Setembro","Outubro","Novembro","Dezembro"))</f>
        <v/>
      </c>
      <c r="C192" s="4">
        <f>IF($A192="","",CHOOSE(WEEKDAY($A192),"Domingo","Segunda-feira","Terça-feira","Quarta-feira","Quinta-feira","Sexta-feira","Sábado"))</f>
        <v/>
      </c>
      <c r="D192" s="5" t="n">
        <v>2</v>
      </c>
      <c r="E192" s="6">
        <f>IFERROR(INDEX(Consolidado_Mensal!$B$2:$B$12,MATCH($B192,Consolidado_Mensal!$A$2:$A$12,0)),"")</f>
        <v/>
      </c>
      <c r="F192" s="7">
        <f>IF($E192="","",SUMIFS($D$2:$D192,$B$2:$B192,$B192)/$E192)</f>
        <v/>
      </c>
      <c r="G192" s="6">
        <f>IF($E192="","",MAX(0,$E192-SUMIFS($D$2:$D192,$B$2:$B192,$B192)))</f>
        <v/>
      </c>
      <c r="H192" s="5" t="n">
        <v>2</v>
      </c>
      <c r="I192" s="5" t="n"/>
      <c r="J192" s="5" t="n"/>
      <c r="K192" s="5" t="n">
        <v>2</v>
      </c>
      <c r="L192" s="5" t="n"/>
      <c r="M192" s="5" t="n"/>
      <c r="N192" s="5" t="n">
        <v>2</v>
      </c>
      <c r="O192" s="5" t="n"/>
      <c r="P192" s="5" t="n"/>
      <c r="Q192" s="5" t="n"/>
      <c r="R192" s="5" t="n"/>
      <c r="S192" s="5" t="n"/>
      <c r="T192" s="6">
        <f>IF($D192="","",IF(AND($D192=0,SUM($H192:$S192)=0),"OK",IF(SUM($H192:$S192)=0,"Sem detalhe",IF(AND(OR(SUM($H192:$I192)=$D192,SUM($H192:$I192)=0),OR(SUM($J192:$K192)=$D192,SUM($J192:$K192)=0),OR(SUM($L192:$S192)=$D192,SUM($L192:$S192)=0)),"OK","Verificar: "&amp;IF(AND(SUM($H192:$I192)&lt;&gt;$D192,SUM($H192:$I192)&lt;&gt;0),"perfil ","")&amp;IF(AND(SUM($J192:$K192)&lt;&gt;$D192,SUM($J192:$K192)&lt;&gt;0),"gênero ","")&amp;IF(AND(SUM($L192:$S192)&lt;&gt;$D192,SUM($L192:$S192)&lt;&gt;0),"professor","")))))</f>
        <v/>
      </c>
      <c r="U192" s="5" t="n"/>
    </row>
    <row r="193" ht="18" customHeight="1">
      <c r="A193" s="3" t="n">
        <v>46245</v>
      </c>
      <c r="B193" s="4">
        <f>IF($A193="","",CHOOSE(MONTH($A193),"Janeiro","Fevereiro","Março","Abril","Maio","Junho","Julho","Agosto","Setembro","Outubro","Novembro","Dezembro"))</f>
        <v/>
      </c>
      <c r="C193" s="4">
        <f>IF($A193="","",CHOOSE(WEEKDAY($A193),"Domingo","Segunda-feira","Terça-feira","Quarta-feira","Quinta-feira","Sexta-feira","Sábado"))</f>
        <v/>
      </c>
      <c r="D193" s="5" t="n">
        <v>4</v>
      </c>
      <c r="E193" s="6">
        <f>IFERROR(INDEX(Consolidado_Mensal!$B$2:$B$12,MATCH($B193,Consolidado_Mensal!$A$2:$A$12,0)),"")</f>
        <v/>
      </c>
      <c r="F193" s="7">
        <f>IF($E193="","",SUMIFS($D$2:$D193,$B$2:$B193,$B193)/$E193)</f>
        <v/>
      </c>
      <c r="G193" s="6">
        <f>IF($E193="","",MAX(0,$E193-SUMIFS($D$2:$D193,$B$2:$B193,$B193)))</f>
        <v/>
      </c>
      <c r="H193" s="5" t="n">
        <v>3</v>
      </c>
      <c r="I193" s="5" t="n">
        <v>1</v>
      </c>
      <c r="J193" s="5" t="n">
        <v>2</v>
      </c>
      <c r="K193" s="5" t="n">
        <v>2</v>
      </c>
      <c r="L193" s="5" t="n">
        <v>3</v>
      </c>
      <c r="M193" s="5" t="n">
        <v>1</v>
      </c>
      <c r="N193" s="5" t="n"/>
      <c r="O193" s="5" t="n"/>
      <c r="P193" s="5" t="n"/>
      <c r="Q193" s="5" t="n"/>
      <c r="R193" s="5" t="n"/>
      <c r="S193" s="5" t="n"/>
      <c r="T193" s="6">
        <f>IF($D193="","",IF(AND($D193=0,SUM($H193:$S193)=0),"OK",IF(SUM($H193:$S193)=0,"Sem detalhe",IF(AND(OR(SUM($H193:$I193)=$D193,SUM($H193:$I193)=0),OR(SUM($J193:$K193)=$D193,SUM($J193:$K193)=0),OR(SUM($L193:$S193)=$D193,SUM($L193:$S193)=0)),"OK","Verificar: "&amp;IF(AND(SUM($H193:$I193)&lt;&gt;$D193,SUM($H193:$I193)&lt;&gt;0),"perfil ","")&amp;IF(AND(SUM($J193:$K193)&lt;&gt;$D193,SUM($J193:$K193)&lt;&gt;0),"gênero ","")&amp;IF(AND(SUM($L193:$S193)&lt;&gt;$D193,SUM($L193:$S193)&lt;&gt;0),"professor","")))))</f>
        <v/>
      </c>
      <c r="U193" s="5" t="n"/>
    </row>
    <row r="194" ht="18" customHeight="1">
      <c r="A194" s="3" t="n">
        <v>46246</v>
      </c>
      <c r="B194" s="4">
        <f>IF($A194="","",CHOOSE(MONTH($A194),"Janeiro","Fevereiro","Março","Abril","Maio","Junho","Julho","Agosto","Setembro","Outubro","Novembro","Dezembro"))</f>
        <v/>
      </c>
      <c r="C194" s="4">
        <f>IF($A194="","",CHOOSE(WEEKDAY($A194),"Domingo","Segunda-feira","Terça-feira","Quarta-feira","Quinta-feira","Sexta-feira","Sábado"))</f>
        <v/>
      </c>
      <c r="D194" s="5" t="n">
        <v>4</v>
      </c>
      <c r="E194" s="6">
        <f>IFERROR(INDEX(Consolidado_Mensal!$B$2:$B$12,MATCH($B194,Consolidado_Mensal!$A$2:$A$12,0)),"")</f>
        <v/>
      </c>
      <c r="F194" s="7">
        <f>IF($E194="","",SUMIFS($D$2:$D194,$B$2:$B194,$B194)/$E194)</f>
        <v/>
      </c>
      <c r="G194" s="6">
        <f>IF($E194="","",MAX(0,$E194-SUMIFS($D$2:$D194,$B$2:$B194,$B194)))</f>
        <v/>
      </c>
      <c r="H194" s="5" t="n">
        <v>1</v>
      </c>
      <c r="I194" s="5" t="n">
        <v>3</v>
      </c>
      <c r="J194" s="5" t="n">
        <v>1</v>
      </c>
      <c r="K194" s="5" t="n">
        <v>3</v>
      </c>
      <c r="L194" s="5" t="n">
        <v>1</v>
      </c>
      <c r="M194" s="5" t="n">
        <v>1</v>
      </c>
      <c r="N194" s="5" t="n">
        <v>2</v>
      </c>
      <c r="O194" s="5" t="n"/>
      <c r="P194" s="5" t="n"/>
      <c r="Q194" s="5" t="n"/>
      <c r="R194" s="5" t="n"/>
      <c r="S194" s="5" t="n"/>
      <c r="T194" s="6">
        <f>IF($D194="","",IF(AND($D194=0,SUM($H194:$S194)=0),"OK",IF(SUM($H194:$S194)=0,"Sem detalhe",IF(AND(OR(SUM($H194:$I194)=$D194,SUM($H194:$I194)=0),OR(SUM($J194:$K194)=$D194,SUM($J194:$K194)=0),OR(SUM($L194:$S194)=$D194,SUM($L194:$S194)=0)),"OK","Verificar: "&amp;IF(AND(SUM($H194:$I194)&lt;&gt;$D194,SUM($H194:$I194)&lt;&gt;0),"perfil ","")&amp;IF(AND(SUM($J194:$K194)&lt;&gt;$D194,SUM($J194:$K194)&lt;&gt;0),"gênero ","")&amp;IF(AND(SUM($L194:$S194)&lt;&gt;$D194,SUM($L194:$S194)&lt;&gt;0),"professor","")))))</f>
        <v/>
      </c>
      <c r="U194" s="5" t="n"/>
    </row>
    <row r="195" ht="18" customHeight="1">
      <c r="A195" s="3" t="n">
        <v>46247</v>
      </c>
      <c r="B195" s="4">
        <f>IF($A195="","",CHOOSE(MONTH($A195),"Janeiro","Fevereiro","Março","Abril","Maio","Junho","Julho","Agosto","Setembro","Outubro","Novembro","Dezembro"))</f>
        <v/>
      </c>
      <c r="C195" s="4">
        <f>IF($A195="","",CHOOSE(WEEKDAY($A195),"Domingo","Segunda-feira","Terça-feira","Quarta-feira","Quinta-feira","Sexta-feira","Sábado"))</f>
        <v/>
      </c>
      <c r="D195" s="5" t="n">
        <v>6</v>
      </c>
      <c r="E195" s="6">
        <f>IFERROR(INDEX(Consolidado_Mensal!$B$2:$B$12,MATCH($B195,Consolidado_Mensal!$A$2:$A$12,0)),"")</f>
        <v/>
      </c>
      <c r="F195" s="7">
        <f>IF($E195="","",SUMIFS($D$2:$D195,$B$2:$B195,$B195)/$E195)</f>
        <v/>
      </c>
      <c r="G195" s="6">
        <f>IF($E195="","",MAX(0,$E195-SUMIFS($D$2:$D195,$B$2:$B195,$B195)))</f>
        <v/>
      </c>
      <c r="H195" s="5" t="n">
        <v>5</v>
      </c>
      <c r="I195" s="5" t="n">
        <v>1</v>
      </c>
      <c r="J195" s="5" t="n">
        <v>2</v>
      </c>
      <c r="K195" s="5" t="n">
        <v>4</v>
      </c>
      <c r="L195" s="5" t="n">
        <v>2</v>
      </c>
      <c r="M195" s="5" t="n">
        <v>4</v>
      </c>
      <c r="N195" s="5" t="n"/>
      <c r="O195" s="5" t="n"/>
      <c r="P195" s="5" t="n"/>
      <c r="Q195" s="5" t="n"/>
      <c r="R195" s="5" t="n"/>
      <c r="S195" s="5" t="n"/>
      <c r="T195" s="6">
        <f>IF($D195="","",IF(AND($D195=0,SUM($H195:$S195)=0),"OK",IF(SUM($H195:$S195)=0,"Sem detalhe",IF(AND(OR(SUM($H195:$I195)=$D195,SUM($H195:$I195)=0),OR(SUM($J195:$K195)=$D195,SUM($J195:$K195)=0),OR(SUM($L195:$S195)=$D195,SUM($L195:$S195)=0)),"OK","Verificar: "&amp;IF(AND(SUM($H195:$I195)&lt;&gt;$D195,SUM($H195:$I195)&lt;&gt;0),"perfil ","")&amp;IF(AND(SUM($J195:$K195)&lt;&gt;$D195,SUM($J195:$K195)&lt;&gt;0),"gênero ","")&amp;IF(AND(SUM($L195:$S195)&lt;&gt;$D195,SUM($L195:$S195)&lt;&gt;0),"professor","")))))</f>
        <v/>
      </c>
      <c r="U195" s="5" t="n"/>
    </row>
    <row r="196" ht="18" customHeight="1">
      <c r="A196" s="3" t="n">
        <v>46248</v>
      </c>
      <c r="B196" s="4">
        <f>IF($A196="","",CHOOSE(MONTH($A196),"Janeiro","Fevereiro","Março","Abril","Maio","Junho","Julho","Agosto","Setembro","Outubro","Novembro","Dezembro"))</f>
        <v/>
      </c>
      <c r="C196" s="4">
        <f>IF($A196="","",CHOOSE(WEEKDAY($A196),"Domingo","Segunda-feira","Terça-feira","Quarta-feira","Quinta-feira","Sexta-feira","Sábado"))</f>
        <v/>
      </c>
      <c r="D196" s="5" t="n"/>
      <c r="E196" s="6">
        <f>IFERROR(INDEX(Consolidado_Mensal!$B$2:$B$12,MATCH($B196,Consolidado_Mensal!$A$2:$A$12,0)),"")</f>
        <v/>
      </c>
      <c r="F196" s="7">
        <f>IF($E196="","",SUMIFS($D$2:$D196,$B$2:$B196,$B196)/$E196)</f>
        <v/>
      </c>
      <c r="G196" s="6">
        <f>IF($E196="","",MAX(0,$E196-SUMIFS($D$2:$D196,$B$2:$B196,$B196)))</f>
        <v/>
      </c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6">
        <f>IF($D196="","",IF(AND($D196=0,SUM($H196:$S196)=0),"OK",IF(SUM($H196:$S196)=0,"Sem detalhe",IF(AND(OR(SUM($H196:$I196)=$D196,SUM($H196:$I196)=0),OR(SUM($J196:$K196)=$D196,SUM($J196:$K196)=0),OR(SUM($L196:$S196)=$D196,SUM($L196:$S196)=0)),"OK","Verificar: "&amp;IF(AND(SUM($H196:$I196)&lt;&gt;$D196,SUM($H196:$I196)&lt;&gt;0),"perfil ","")&amp;IF(AND(SUM($J196:$K196)&lt;&gt;$D196,SUM($J196:$K196)&lt;&gt;0),"gênero ","")&amp;IF(AND(SUM($L196:$S196)&lt;&gt;$D196,SUM($L196:$S196)&lt;&gt;0),"professor","")))))</f>
        <v/>
      </c>
      <c r="U196" s="5" t="n"/>
    </row>
    <row r="197" ht="18" customHeight="1">
      <c r="A197" s="3" t="n">
        <v>46249</v>
      </c>
      <c r="B197" s="4">
        <f>IF($A197="","",CHOOSE(MONTH($A197),"Janeiro","Fevereiro","Março","Abril","Maio","Junho","Julho","Agosto","Setembro","Outubro","Novembro","Dezembro"))</f>
        <v/>
      </c>
      <c r="C197" s="4">
        <f>IF($A197="","",CHOOSE(WEEKDAY($A197),"Domingo","Segunda-feira","Terça-feira","Quarta-feira","Quinta-feira","Sexta-feira","Sábado"))</f>
        <v/>
      </c>
      <c r="D197" s="5" t="n"/>
      <c r="E197" s="6">
        <f>IFERROR(INDEX(Consolidado_Mensal!$B$2:$B$12,MATCH($B197,Consolidado_Mensal!$A$2:$A$12,0)),"")</f>
        <v/>
      </c>
      <c r="F197" s="7">
        <f>IF($E197="","",SUMIFS($D$2:$D197,$B$2:$B197,$B197)/$E197)</f>
        <v/>
      </c>
      <c r="G197" s="6">
        <f>IF($E197="","",MAX(0,$E197-SUMIFS($D$2:$D197,$B$2:$B197,$B197)))</f>
        <v/>
      </c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6">
        <f>IF($D197="","",IF(AND($D197=0,SUM($H197:$S197)=0),"OK",IF(SUM($H197:$S197)=0,"Sem detalhe",IF(AND(OR(SUM($H197:$I197)=$D197,SUM($H197:$I197)=0),OR(SUM($J197:$K197)=$D197,SUM($J197:$K197)=0),OR(SUM($L197:$S197)=$D197,SUM($L197:$S197)=0)),"OK","Verificar: "&amp;IF(AND(SUM($H197:$I197)&lt;&gt;$D197,SUM($H197:$I197)&lt;&gt;0),"perfil ","")&amp;IF(AND(SUM($J197:$K197)&lt;&gt;$D197,SUM($J197:$K197)&lt;&gt;0),"gênero ","")&amp;IF(AND(SUM($L197:$S197)&lt;&gt;$D197,SUM($L197:$S197)&lt;&gt;0),"professor","")))))</f>
        <v/>
      </c>
      <c r="U197" s="5" t="n"/>
    </row>
    <row r="198" ht="18" customHeight="1">
      <c r="A198" s="3" t="n">
        <v>46250</v>
      </c>
      <c r="B198" s="4">
        <f>IF($A198="","",CHOOSE(MONTH($A198),"Janeiro","Fevereiro","Março","Abril","Maio","Junho","Julho","Agosto","Setembro","Outubro","Novembro","Dezembro"))</f>
        <v/>
      </c>
      <c r="C198" s="4">
        <f>IF($A198="","",CHOOSE(WEEKDAY($A198),"Domingo","Segunda-feira","Terça-feira","Quarta-feira","Quinta-feira","Sexta-feira","Sábado"))</f>
        <v/>
      </c>
      <c r="D198" s="5" t="n"/>
      <c r="E198" s="6">
        <f>IFERROR(INDEX(Consolidado_Mensal!$B$2:$B$12,MATCH($B198,Consolidado_Mensal!$A$2:$A$12,0)),"")</f>
        <v/>
      </c>
      <c r="F198" s="7">
        <f>IF($E198="","",SUMIFS($D$2:$D198,$B$2:$B198,$B198)/$E198)</f>
        <v/>
      </c>
      <c r="G198" s="6">
        <f>IF($E198="","",MAX(0,$E198-SUMIFS($D$2:$D198,$B$2:$B198,$B198)))</f>
        <v/>
      </c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6">
        <f>IF($D198="","",IF(AND($D198=0,SUM($H198:$S198)=0),"OK",IF(SUM($H198:$S198)=0,"Sem detalhe",IF(AND(OR(SUM($H198:$I198)=$D198,SUM($H198:$I198)=0),OR(SUM($J198:$K198)=$D198,SUM($J198:$K198)=0),OR(SUM($L198:$S198)=$D198,SUM($L198:$S198)=0)),"OK","Verificar: "&amp;IF(AND(SUM($H198:$I198)&lt;&gt;$D198,SUM($H198:$I198)&lt;&gt;0),"perfil ","")&amp;IF(AND(SUM($J198:$K198)&lt;&gt;$D198,SUM($J198:$K198)&lt;&gt;0),"gênero ","")&amp;IF(AND(SUM($L198:$S198)&lt;&gt;$D198,SUM($L198:$S198)&lt;&gt;0),"professor","")))))</f>
        <v/>
      </c>
      <c r="U198" s="5" t="n"/>
    </row>
    <row r="199" ht="18" customHeight="1">
      <c r="A199" s="3" t="n">
        <v>46251</v>
      </c>
      <c r="B199" s="4">
        <f>IF($A199="","",CHOOSE(MONTH($A199),"Janeiro","Fevereiro","Março","Abril","Maio","Junho","Julho","Agosto","Setembro","Outubro","Novembro","Dezembro"))</f>
        <v/>
      </c>
      <c r="C199" s="4">
        <f>IF($A199="","",CHOOSE(WEEKDAY($A199),"Domingo","Segunda-feira","Terça-feira","Quarta-feira","Quinta-feira","Sexta-feira","Sábado"))</f>
        <v/>
      </c>
      <c r="D199" s="5" t="n"/>
      <c r="E199" s="6">
        <f>IFERROR(INDEX(Consolidado_Mensal!$B$2:$B$12,MATCH($B199,Consolidado_Mensal!$A$2:$A$12,0)),"")</f>
        <v/>
      </c>
      <c r="F199" s="7">
        <f>IF($E199="","",SUMIFS($D$2:$D199,$B$2:$B199,$B199)/$E199)</f>
        <v/>
      </c>
      <c r="G199" s="6">
        <f>IF($E199="","",MAX(0,$E199-SUMIFS($D$2:$D199,$B$2:$B199,$B199)))</f>
        <v/>
      </c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6">
        <f>IF($D199="","",IF(AND($D199=0,SUM($H199:$S199)=0),"OK",IF(SUM($H199:$S199)=0,"Sem detalhe",IF(AND(OR(SUM($H199:$I199)=$D199,SUM($H199:$I199)=0),OR(SUM($J199:$K199)=$D199,SUM($J199:$K199)=0),OR(SUM($L199:$S199)=$D199,SUM($L199:$S199)=0)),"OK","Verificar: "&amp;IF(AND(SUM($H199:$I199)&lt;&gt;$D199,SUM($H199:$I199)&lt;&gt;0),"perfil ","")&amp;IF(AND(SUM($J199:$K199)&lt;&gt;$D199,SUM($J199:$K199)&lt;&gt;0),"gênero ","")&amp;IF(AND(SUM($L199:$S199)&lt;&gt;$D199,SUM($L199:$S199)&lt;&gt;0),"professor","")))))</f>
        <v/>
      </c>
      <c r="U199" s="5" t="n"/>
    </row>
    <row r="200" ht="18" customHeight="1">
      <c r="A200" s="3" t="n">
        <v>46252</v>
      </c>
      <c r="B200" s="4">
        <f>IF($A200="","",CHOOSE(MONTH($A200),"Janeiro","Fevereiro","Março","Abril","Maio","Junho","Julho","Agosto","Setembro","Outubro","Novembro","Dezembro"))</f>
        <v/>
      </c>
      <c r="C200" s="4">
        <f>IF($A200="","",CHOOSE(WEEKDAY($A200),"Domingo","Segunda-feira","Terça-feira","Quarta-feira","Quinta-feira","Sexta-feira","Sábado"))</f>
        <v/>
      </c>
      <c r="D200" s="5" t="n"/>
      <c r="E200" s="6">
        <f>IFERROR(INDEX(Consolidado_Mensal!$B$2:$B$12,MATCH($B200,Consolidado_Mensal!$A$2:$A$12,0)),"")</f>
        <v/>
      </c>
      <c r="F200" s="7">
        <f>IF($E200="","",SUMIFS($D$2:$D200,$B$2:$B200,$B200)/$E200)</f>
        <v/>
      </c>
      <c r="G200" s="6">
        <f>IF($E200="","",MAX(0,$E200-SUMIFS($D$2:$D200,$B$2:$B200,$B200)))</f>
        <v/>
      </c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6">
        <f>IF($D200="","",IF(AND($D200=0,SUM($H200:$S200)=0),"OK",IF(SUM($H200:$S200)=0,"Sem detalhe",IF(AND(OR(SUM($H200:$I200)=$D200,SUM($H200:$I200)=0),OR(SUM($J200:$K200)=$D200,SUM($J200:$K200)=0),OR(SUM($L200:$S200)=$D200,SUM($L200:$S200)=0)),"OK","Verificar: "&amp;IF(AND(SUM($H200:$I200)&lt;&gt;$D200,SUM($H200:$I200)&lt;&gt;0),"perfil ","")&amp;IF(AND(SUM($J200:$K200)&lt;&gt;$D200,SUM($J200:$K200)&lt;&gt;0),"gênero ","")&amp;IF(AND(SUM($L200:$S200)&lt;&gt;$D200,SUM($L200:$S200)&lt;&gt;0),"professor","")))))</f>
        <v/>
      </c>
      <c r="U200" s="5" t="n"/>
    </row>
    <row r="201" ht="18" customHeight="1">
      <c r="A201" s="3" t="n">
        <v>46253</v>
      </c>
      <c r="B201" s="4">
        <f>IF($A201="","",CHOOSE(MONTH($A201),"Janeiro","Fevereiro","Março","Abril","Maio","Junho","Julho","Agosto","Setembro","Outubro","Novembro","Dezembro"))</f>
        <v/>
      </c>
      <c r="C201" s="4">
        <f>IF($A201="","",CHOOSE(WEEKDAY($A201),"Domingo","Segunda-feira","Terça-feira","Quarta-feira","Quinta-feira","Sexta-feira","Sábado"))</f>
        <v/>
      </c>
      <c r="D201" s="5" t="n">
        <v>5</v>
      </c>
      <c r="E201" s="6">
        <f>IFERROR(INDEX(Consolidado_Mensal!$B$2:$B$12,MATCH($B201,Consolidado_Mensal!$A$2:$A$12,0)),"")</f>
        <v/>
      </c>
      <c r="F201" s="7">
        <f>IF($E201="","",SUMIFS($D$2:$D201,$B$2:$B201,$B201)/$E201)</f>
        <v/>
      </c>
      <c r="G201" s="6">
        <f>IF($E201="","",MAX(0,$E201-SUMIFS($D$2:$D201,$B$2:$B201,$B201)))</f>
        <v/>
      </c>
      <c r="H201" s="5" t="n">
        <v>5</v>
      </c>
      <c r="I201" s="5" t="n"/>
      <c r="J201" s="5" t="n">
        <v>1</v>
      </c>
      <c r="K201" s="5" t="n">
        <v>4</v>
      </c>
      <c r="L201" s="5" t="n">
        <v>2</v>
      </c>
      <c r="M201" s="5" t="n">
        <v>1</v>
      </c>
      <c r="N201" s="5" t="n">
        <v>2</v>
      </c>
      <c r="O201" s="5" t="n"/>
      <c r="P201" s="5" t="n"/>
      <c r="Q201" s="5" t="n"/>
      <c r="R201" s="5" t="n"/>
      <c r="S201" s="5" t="n"/>
      <c r="T201" s="6">
        <f>IF($D201="","",IF(AND($D201=0,SUM($H201:$S201)=0),"OK",IF(SUM($H201:$S201)=0,"Sem detalhe",IF(AND(OR(SUM($H201:$I201)=$D201,SUM($H201:$I201)=0),OR(SUM($J201:$K201)=$D201,SUM($J201:$K201)=0),OR(SUM($L201:$S201)=$D201,SUM($L201:$S201)=0)),"OK","Verificar: "&amp;IF(AND(SUM($H201:$I201)&lt;&gt;$D201,SUM($H201:$I201)&lt;&gt;0),"perfil ","")&amp;IF(AND(SUM($J201:$K201)&lt;&gt;$D201,SUM($J201:$K201)&lt;&gt;0),"gênero ","")&amp;IF(AND(SUM($L201:$S201)&lt;&gt;$D201,SUM($L201:$S201)&lt;&gt;0),"professor","")))))</f>
        <v/>
      </c>
      <c r="U201" s="5" t="n"/>
    </row>
    <row r="202" ht="18" customHeight="1">
      <c r="A202" s="3" t="n">
        <v>46254</v>
      </c>
      <c r="B202" s="4">
        <f>IF($A202="","",CHOOSE(MONTH($A202),"Janeiro","Fevereiro","Março","Abril","Maio","Junho","Julho","Agosto","Setembro","Outubro","Novembro","Dezembro"))</f>
        <v/>
      </c>
      <c r="C202" s="4">
        <f>IF($A202="","",CHOOSE(WEEKDAY($A202),"Domingo","Segunda-feira","Terça-feira","Quarta-feira","Quinta-feira","Sexta-feira","Sábado"))</f>
        <v/>
      </c>
      <c r="D202" s="5" t="n">
        <v>2</v>
      </c>
      <c r="E202" s="6">
        <f>IFERROR(INDEX(Consolidado_Mensal!$B$2:$B$12,MATCH($B202,Consolidado_Mensal!$A$2:$A$12,0)),"")</f>
        <v/>
      </c>
      <c r="F202" s="7">
        <f>IF($E202="","",SUMIFS($D$2:$D202,$B$2:$B202,$B202)/$E202)</f>
        <v/>
      </c>
      <c r="G202" s="6">
        <f>IF($E202="","",MAX(0,$E202-SUMIFS($D$2:$D202,$B$2:$B202,$B202)))</f>
        <v/>
      </c>
      <c r="H202" s="5" t="n">
        <v>2</v>
      </c>
      <c r="I202" s="5" t="n"/>
      <c r="J202" s="5" t="n"/>
      <c r="K202" s="5" t="n">
        <v>2</v>
      </c>
      <c r="L202" s="5" t="n">
        <v>2</v>
      </c>
      <c r="M202" s="5" t="n"/>
      <c r="N202" s="5" t="n"/>
      <c r="O202" s="5" t="n"/>
      <c r="P202" s="5" t="n"/>
      <c r="Q202" s="5" t="n"/>
      <c r="R202" s="5" t="n"/>
      <c r="S202" s="5" t="n"/>
      <c r="T202" s="6">
        <f>IF($D202="","",IF(AND($D202=0,SUM($H202:$S202)=0),"OK",IF(SUM($H202:$S202)=0,"Sem detalhe",IF(AND(OR(SUM($H202:$I202)=$D202,SUM($H202:$I202)=0),OR(SUM($J202:$K202)=$D202,SUM($J202:$K202)=0),OR(SUM($L202:$S202)=$D202,SUM($L202:$S202)=0)),"OK","Verificar: "&amp;IF(AND(SUM($H202:$I202)&lt;&gt;$D202,SUM($H202:$I202)&lt;&gt;0),"perfil ","")&amp;IF(AND(SUM($J202:$K202)&lt;&gt;$D202,SUM($J202:$K202)&lt;&gt;0),"gênero ","")&amp;IF(AND(SUM($L202:$S202)&lt;&gt;$D202,SUM($L202:$S202)&lt;&gt;0),"professor","")))))</f>
        <v/>
      </c>
      <c r="U202" s="5" t="n"/>
    </row>
    <row r="203" ht="18" customHeight="1">
      <c r="A203" s="3" t="n">
        <v>46255</v>
      </c>
      <c r="B203" s="4">
        <f>IF($A203="","",CHOOSE(MONTH($A203),"Janeiro","Fevereiro","Março","Abril","Maio","Junho","Julho","Agosto","Setembro","Outubro","Novembro","Dezembro"))</f>
        <v/>
      </c>
      <c r="C203" s="4">
        <f>IF($A203="","",CHOOSE(WEEKDAY($A203),"Domingo","Segunda-feira","Terça-feira","Quarta-feira","Quinta-feira","Sexta-feira","Sábado"))</f>
        <v/>
      </c>
      <c r="D203" s="5" t="n"/>
      <c r="E203" s="6">
        <f>IFERROR(INDEX(Consolidado_Mensal!$B$2:$B$12,MATCH($B203,Consolidado_Mensal!$A$2:$A$12,0)),"")</f>
        <v/>
      </c>
      <c r="F203" s="7">
        <f>IF($E203="","",SUMIFS($D$2:$D203,$B$2:$B203,$B203)/$E203)</f>
        <v/>
      </c>
      <c r="G203" s="6">
        <f>IF($E203="","",MAX(0,$E203-SUMIFS($D$2:$D203,$B$2:$B203,$B203)))</f>
        <v/>
      </c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6">
        <f>IF($D203="","",IF(AND($D203=0,SUM($H203:$S203)=0),"OK",IF(SUM($H203:$S203)=0,"Sem detalhe",IF(AND(OR(SUM($H203:$I203)=$D203,SUM($H203:$I203)=0),OR(SUM($J203:$K203)=$D203,SUM($J203:$K203)=0),OR(SUM($L203:$S203)=$D203,SUM($L203:$S203)=0)),"OK","Verificar: "&amp;IF(AND(SUM($H203:$I203)&lt;&gt;$D203,SUM($H203:$I203)&lt;&gt;0),"perfil ","")&amp;IF(AND(SUM($J203:$K203)&lt;&gt;$D203,SUM($J203:$K203)&lt;&gt;0),"gênero ","")&amp;IF(AND(SUM($L203:$S203)&lt;&gt;$D203,SUM($L203:$S203)&lt;&gt;0),"professor","")))))</f>
        <v/>
      </c>
      <c r="U203" s="5" t="n"/>
    </row>
    <row r="204" ht="18" customHeight="1">
      <c r="A204" s="3" t="n">
        <v>46256</v>
      </c>
      <c r="B204" s="4">
        <f>IF($A204="","",CHOOSE(MONTH($A204),"Janeiro","Fevereiro","Março","Abril","Maio","Junho","Julho","Agosto","Setembro","Outubro","Novembro","Dezembro"))</f>
        <v/>
      </c>
      <c r="C204" s="4">
        <f>IF($A204="","",CHOOSE(WEEKDAY($A204),"Domingo","Segunda-feira","Terça-feira","Quarta-feira","Quinta-feira","Sexta-feira","Sábado"))</f>
        <v/>
      </c>
      <c r="D204" s="5" t="n"/>
      <c r="E204" s="6">
        <f>IFERROR(INDEX(Consolidado_Mensal!$B$2:$B$12,MATCH($B204,Consolidado_Mensal!$A$2:$A$12,0)),"")</f>
        <v/>
      </c>
      <c r="F204" s="7">
        <f>IF($E204="","",SUMIFS($D$2:$D204,$B$2:$B204,$B204)/$E204)</f>
        <v/>
      </c>
      <c r="G204" s="6">
        <f>IF($E204="","",MAX(0,$E204-SUMIFS($D$2:$D204,$B$2:$B204,$B204)))</f>
        <v/>
      </c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6">
        <f>IF($D204="","",IF(AND($D204=0,SUM($H204:$S204)=0),"OK",IF(SUM($H204:$S204)=0,"Sem detalhe",IF(AND(OR(SUM($H204:$I204)=$D204,SUM($H204:$I204)=0),OR(SUM($J204:$K204)=$D204,SUM($J204:$K204)=0),OR(SUM($L204:$S204)=$D204,SUM($L204:$S204)=0)),"OK","Verificar: "&amp;IF(AND(SUM($H204:$I204)&lt;&gt;$D204,SUM($H204:$I204)&lt;&gt;0),"perfil ","")&amp;IF(AND(SUM($J204:$K204)&lt;&gt;$D204,SUM($J204:$K204)&lt;&gt;0),"gênero ","")&amp;IF(AND(SUM($L204:$S204)&lt;&gt;$D204,SUM($L204:$S204)&lt;&gt;0),"professor","")))))</f>
        <v/>
      </c>
      <c r="U204" s="5" t="n"/>
    </row>
    <row r="205" ht="18" customHeight="1">
      <c r="A205" s="3" t="n">
        <v>46257</v>
      </c>
      <c r="B205" s="4">
        <f>IF($A205="","",CHOOSE(MONTH($A205),"Janeiro","Fevereiro","Março","Abril","Maio","Junho","Julho","Agosto","Setembro","Outubro","Novembro","Dezembro"))</f>
        <v/>
      </c>
      <c r="C205" s="4">
        <f>IF($A205="","",CHOOSE(WEEKDAY($A205),"Domingo","Segunda-feira","Terça-feira","Quarta-feira","Quinta-feira","Sexta-feira","Sábado"))</f>
        <v/>
      </c>
      <c r="D205" s="5" t="n"/>
      <c r="E205" s="6">
        <f>IFERROR(INDEX(Consolidado_Mensal!$B$2:$B$12,MATCH($B205,Consolidado_Mensal!$A$2:$A$12,0)),"")</f>
        <v/>
      </c>
      <c r="F205" s="7">
        <f>IF($E205="","",SUMIFS($D$2:$D205,$B$2:$B205,$B205)/$E205)</f>
        <v/>
      </c>
      <c r="G205" s="6">
        <f>IF($E205="","",MAX(0,$E205-SUMIFS($D$2:$D205,$B$2:$B205,$B205)))</f>
        <v/>
      </c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6">
        <f>IF($D205="","",IF(AND($D205=0,SUM($H205:$S205)=0),"OK",IF(SUM($H205:$S205)=0,"Sem detalhe",IF(AND(OR(SUM($H205:$I205)=$D205,SUM($H205:$I205)=0),OR(SUM($J205:$K205)=$D205,SUM($J205:$K205)=0),OR(SUM($L205:$S205)=$D205,SUM($L205:$S205)=0)),"OK","Verificar: "&amp;IF(AND(SUM($H205:$I205)&lt;&gt;$D205,SUM($H205:$I205)&lt;&gt;0),"perfil ","")&amp;IF(AND(SUM($J205:$K205)&lt;&gt;$D205,SUM($J205:$K205)&lt;&gt;0),"gênero ","")&amp;IF(AND(SUM($L205:$S205)&lt;&gt;$D205,SUM($L205:$S205)&lt;&gt;0),"professor","")))))</f>
        <v/>
      </c>
      <c r="U205" s="5" t="n"/>
    </row>
    <row r="206" ht="18" customHeight="1">
      <c r="A206" s="3" t="n">
        <v>46258</v>
      </c>
      <c r="B206" s="4">
        <f>IF($A206="","",CHOOSE(MONTH($A206),"Janeiro","Fevereiro","Março","Abril","Maio","Junho","Julho","Agosto","Setembro","Outubro","Novembro","Dezembro"))</f>
        <v/>
      </c>
      <c r="C206" s="4">
        <f>IF($A206="","",CHOOSE(WEEKDAY($A206),"Domingo","Segunda-feira","Terça-feira","Quarta-feira","Quinta-feira","Sexta-feira","Sábado"))</f>
        <v/>
      </c>
      <c r="D206" s="5" t="n"/>
      <c r="E206" s="6">
        <f>IFERROR(INDEX(Consolidado_Mensal!$B$2:$B$12,MATCH($B206,Consolidado_Mensal!$A$2:$A$12,0)),"")</f>
        <v/>
      </c>
      <c r="F206" s="7">
        <f>IF($E206="","",SUMIFS($D$2:$D206,$B$2:$B206,$B206)/$E206)</f>
        <v/>
      </c>
      <c r="G206" s="6">
        <f>IF($E206="","",MAX(0,$E206-SUMIFS($D$2:$D206,$B$2:$B206,$B206)))</f>
        <v/>
      </c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6">
        <f>IF($D206="","",IF(AND($D206=0,SUM($H206:$S206)=0),"OK",IF(SUM($H206:$S206)=0,"Sem detalhe",IF(AND(OR(SUM($H206:$I206)=$D206,SUM($H206:$I206)=0),OR(SUM($J206:$K206)=$D206,SUM($J206:$K206)=0),OR(SUM($L206:$S206)=$D206,SUM($L206:$S206)=0)),"OK","Verificar: "&amp;IF(AND(SUM($H206:$I206)&lt;&gt;$D206,SUM($H206:$I206)&lt;&gt;0),"perfil ","")&amp;IF(AND(SUM($J206:$K206)&lt;&gt;$D206,SUM($J206:$K206)&lt;&gt;0),"gênero ","")&amp;IF(AND(SUM($L206:$S206)&lt;&gt;$D206,SUM($L206:$S206)&lt;&gt;0),"professor","")))))</f>
        <v/>
      </c>
      <c r="U206" s="5" t="n"/>
    </row>
    <row r="207" ht="18" customHeight="1">
      <c r="A207" s="3" t="n">
        <v>46259</v>
      </c>
      <c r="B207" s="4">
        <f>IF($A207="","",CHOOSE(MONTH($A207),"Janeiro","Fevereiro","Março","Abril","Maio","Junho","Julho","Agosto","Setembro","Outubro","Novembro","Dezembro"))</f>
        <v/>
      </c>
      <c r="C207" s="4">
        <f>IF($A207="","",CHOOSE(WEEKDAY($A207),"Domingo","Segunda-feira","Terça-feira","Quarta-feira","Quinta-feira","Sexta-feira","Sábado"))</f>
        <v/>
      </c>
      <c r="D207" s="5" t="n"/>
      <c r="E207" s="6">
        <f>IFERROR(INDEX(Consolidado_Mensal!$B$2:$B$12,MATCH($B207,Consolidado_Mensal!$A$2:$A$12,0)),"")</f>
        <v/>
      </c>
      <c r="F207" s="7">
        <f>IF($E207="","",SUMIFS($D$2:$D207,$B$2:$B207,$B207)/$E207)</f>
        <v/>
      </c>
      <c r="G207" s="6">
        <f>IF($E207="","",MAX(0,$E207-SUMIFS($D$2:$D207,$B$2:$B207,$B207)))</f>
        <v/>
      </c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6">
        <f>IF($D207="","",IF(AND($D207=0,SUM($H207:$S207)=0),"OK",IF(SUM($H207:$S207)=0,"Sem detalhe",IF(AND(OR(SUM($H207:$I207)=$D207,SUM($H207:$I207)=0),OR(SUM($J207:$K207)=$D207,SUM($J207:$K207)=0),OR(SUM($L207:$S207)=$D207,SUM($L207:$S207)=0)),"OK","Verificar: "&amp;IF(AND(SUM($H207:$I207)&lt;&gt;$D207,SUM($H207:$I207)&lt;&gt;0),"perfil ","")&amp;IF(AND(SUM($J207:$K207)&lt;&gt;$D207,SUM($J207:$K207)&lt;&gt;0),"gênero ","")&amp;IF(AND(SUM($L207:$S207)&lt;&gt;$D207,SUM($L207:$S207)&lt;&gt;0),"professor","")))))</f>
        <v/>
      </c>
      <c r="U207" s="5" t="n"/>
    </row>
    <row r="208" ht="18" customHeight="1">
      <c r="A208" s="3" t="n">
        <v>46260</v>
      </c>
      <c r="B208" s="4">
        <f>IF($A208="","",CHOOSE(MONTH($A208),"Janeiro","Fevereiro","Março","Abril","Maio","Junho","Julho","Agosto","Setembro","Outubro","Novembro","Dezembro"))</f>
        <v/>
      </c>
      <c r="C208" s="4">
        <f>IF($A208="","",CHOOSE(WEEKDAY($A208),"Domingo","Segunda-feira","Terça-feira","Quarta-feira","Quinta-feira","Sexta-feira","Sábado"))</f>
        <v/>
      </c>
      <c r="D208" s="5" t="n">
        <v>2</v>
      </c>
      <c r="E208" s="6">
        <f>IFERROR(INDEX(Consolidado_Mensal!$B$2:$B$12,MATCH($B208,Consolidado_Mensal!$A$2:$A$12,0)),"")</f>
        <v/>
      </c>
      <c r="F208" s="7">
        <f>IF($E208="","",SUMIFS($D$2:$D208,$B$2:$B208,$B208)/$E208)</f>
        <v/>
      </c>
      <c r="G208" s="6">
        <f>IF($E208="","",MAX(0,$E208-SUMIFS($D$2:$D208,$B$2:$B208,$B208)))</f>
        <v/>
      </c>
      <c r="H208" s="5" t="n">
        <v>2</v>
      </c>
      <c r="I208" s="5" t="n"/>
      <c r="J208" s="5" t="n">
        <v>1</v>
      </c>
      <c r="K208" s="5" t="n">
        <v>1</v>
      </c>
      <c r="L208" s="5" t="n">
        <v>2</v>
      </c>
      <c r="M208" s="5" t="n"/>
      <c r="N208" s="5" t="n"/>
      <c r="O208" s="5" t="n"/>
      <c r="P208" s="5" t="n"/>
      <c r="Q208" s="5" t="n"/>
      <c r="R208" s="5" t="n"/>
      <c r="S208" s="5" t="n"/>
      <c r="T208" s="6">
        <f>IF($D208="","",IF(AND($D208=0,SUM($H208:$S208)=0),"OK",IF(SUM($H208:$S208)=0,"Sem detalhe",IF(AND(OR(SUM($H208:$I208)=$D208,SUM($H208:$I208)=0),OR(SUM($J208:$K208)=$D208,SUM($J208:$K208)=0),OR(SUM($L208:$S208)=$D208,SUM($L208:$S208)=0)),"OK","Verificar: "&amp;IF(AND(SUM($H208:$I208)&lt;&gt;$D208,SUM($H208:$I208)&lt;&gt;0),"perfil ","")&amp;IF(AND(SUM($J208:$K208)&lt;&gt;$D208,SUM($J208:$K208)&lt;&gt;0),"gênero ","")&amp;IF(AND(SUM($L208:$S208)&lt;&gt;$D208,SUM($L208:$S208)&lt;&gt;0),"professor","")))))</f>
        <v/>
      </c>
      <c r="U208" s="5" t="n"/>
    </row>
    <row r="209" ht="18" customHeight="1">
      <c r="A209" s="3" t="n">
        <v>46261</v>
      </c>
      <c r="B209" s="4">
        <f>IF($A209="","",CHOOSE(MONTH($A209),"Janeiro","Fevereiro","Março","Abril","Maio","Junho","Julho","Agosto","Setembro","Outubro","Novembro","Dezembro"))</f>
        <v/>
      </c>
      <c r="C209" s="4">
        <f>IF($A209="","",CHOOSE(WEEKDAY($A209),"Domingo","Segunda-feira","Terça-feira","Quarta-feira","Quinta-feira","Sexta-feira","Sábado"))</f>
        <v/>
      </c>
      <c r="D209" s="5" t="n">
        <v>5</v>
      </c>
      <c r="E209" s="6">
        <f>IFERROR(INDEX(Consolidado_Mensal!$B$2:$B$12,MATCH($B209,Consolidado_Mensal!$A$2:$A$12,0)),"")</f>
        <v/>
      </c>
      <c r="F209" s="7">
        <f>IF($E209="","",SUMIFS($D$2:$D209,$B$2:$B209,$B209)/$E209)</f>
        <v/>
      </c>
      <c r="G209" s="6">
        <f>IF($E209="","",MAX(0,$E209-SUMIFS($D$2:$D209,$B$2:$B209,$B209)))</f>
        <v/>
      </c>
      <c r="H209" s="5" t="n">
        <v>3</v>
      </c>
      <c r="I209" s="5" t="n">
        <v>2</v>
      </c>
      <c r="J209" s="5" t="n">
        <v>3</v>
      </c>
      <c r="K209" s="5" t="n">
        <v>2</v>
      </c>
      <c r="L209" s="5" t="n">
        <v>3</v>
      </c>
      <c r="M209" s="5" t="n">
        <v>2</v>
      </c>
      <c r="N209" s="5" t="n"/>
      <c r="O209" s="5" t="n"/>
      <c r="P209" s="5" t="n"/>
      <c r="Q209" s="5" t="n"/>
      <c r="R209" s="5" t="n"/>
      <c r="S209" s="5" t="n"/>
      <c r="T209" s="6">
        <f>IF($D209="","",IF(AND($D209=0,SUM($H209:$S209)=0),"OK",IF(SUM($H209:$S209)=0,"Sem detalhe",IF(AND(OR(SUM($H209:$I209)=$D209,SUM($H209:$I209)=0),OR(SUM($J209:$K209)=$D209,SUM($J209:$K209)=0),OR(SUM($L209:$S209)=$D209,SUM($L209:$S209)=0)),"OK","Verificar: "&amp;IF(AND(SUM($H209:$I209)&lt;&gt;$D209,SUM($H209:$I209)&lt;&gt;0),"perfil ","")&amp;IF(AND(SUM($J209:$K209)&lt;&gt;$D209,SUM($J209:$K209)&lt;&gt;0),"gênero ","")&amp;IF(AND(SUM($L209:$S209)&lt;&gt;$D209,SUM($L209:$S209)&lt;&gt;0),"professor","")))))</f>
        <v/>
      </c>
      <c r="U209" s="5" t="n"/>
    </row>
    <row r="210" ht="18" customHeight="1">
      <c r="A210" s="3" t="n">
        <v>46262</v>
      </c>
      <c r="B210" s="4">
        <f>IF($A210="","",CHOOSE(MONTH($A210),"Janeiro","Fevereiro","Março","Abril","Maio","Junho","Julho","Agosto","Setembro","Outubro","Novembro","Dezembro"))</f>
        <v/>
      </c>
      <c r="C210" s="4">
        <f>IF($A210="","",CHOOSE(WEEKDAY($A210),"Domingo","Segunda-feira","Terça-feira","Quarta-feira","Quinta-feira","Sexta-feira","Sábado"))</f>
        <v/>
      </c>
      <c r="D210" s="5" t="n">
        <v>1</v>
      </c>
      <c r="E210" s="6">
        <f>IFERROR(INDEX(Consolidado_Mensal!$B$2:$B$12,MATCH($B210,Consolidado_Mensal!$A$2:$A$12,0)),"")</f>
        <v/>
      </c>
      <c r="F210" s="7">
        <f>IF($E210="","",SUMIFS($D$2:$D210,$B$2:$B210,$B210)/$E210)</f>
        <v/>
      </c>
      <c r="G210" s="6">
        <f>IF($E210="","",MAX(0,$E210-SUMIFS($D$2:$D210,$B$2:$B210,$B210)))</f>
        <v/>
      </c>
      <c r="H210" s="5" t="n">
        <v>1</v>
      </c>
      <c r="I210" s="5" t="n"/>
      <c r="J210" s="5" t="n">
        <v>1</v>
      </c>
      <c r="K210" s="5" t="n"/>
      <c r="L210" s="5" t="n"/>
      <c r="M210" s="5" t="n">
        <v>1</v>
      </c>
      <c r="N210" s="5" t="n"/>
      <c r="O210" s="5" t="n"/>
      <c r="P210" s="5" t="n"/>
      <c r="Q210" s="5" t="n"/>
      <c r="R210" s="5" t="n"/>
      <c r="S210" s="5" t="n"/>
      <c r="T210" s="6">
        <f>IF($D210="","",IF(AND($D210=0,SUM($H210:$S210)=0),"OK",IF(SUM($H210:$S210)=0,"Sem detalhe",IF(AND(OR(SUM($H210:$I210)=$D210,SUM($H210:$I210)=0),OR(SUM($J210:$K210)=$D210,SUM($J210:$K210)=0),OR(SUM($L210:$S210)=$D210,SUM($L210:$S210)=0)),"OK","Verificar: "&amp;IF(AND(SUM($H210:$I210)&lt;&gt;$D210,SUM($H210:$I210)&lt;&gt;0),"perfil ","")&amp;IF(AND(SUM($J210:$K210)&lt;&gt;$D210,SUM($J210:$K210)&lt;&gt;0),"gênero ","")&amp;IF(AND(SUM($L210:$S210)&lt;&gt;$D210,SUM($L210:$S210)&lt;&gt;0),"professor","")))))</f>
        <v/>
      </c>
      <c r="U210" s="5" t="n"/>
    </row>
    <row r="211" ht="18" customHeight="1">
      <c r="A211" s="3" t="n">
        <v>46263</v>
      </c>
      <c r="B211" s="4">
        <f>IF($A211="","",CHOOSE(MONTH($A211),"Janeiro","Fevereiro","Março","Abril","Maio","Junho","Julho","Agosto","Setembro","Outubro","Novembro","Dezembro"))</f>
        <v/>
      </c>
      <c r="C211" s="4">
        <f>IF($A211="","",CHOOSE(WEEKDAY($A211),"Domingo","Segunda-feira","Terça-feira","Quarta-feira","Quinta-feira","Sexta-feira","Sábado"))</f>
        <v/>
      </c>
      <c r="D211" s="5" t="n"/>
      <c r="E211" s="6">
        <f>IFERROR(INDEX(Consolidado_Mensal!$B$2:$B$12,MATCH($B211,Consolidado_Mensal!$A$2:$A$12,0)),"")</f>
        <v/>
      </c>
      <c r="F211" s="7">
        <f>IF($E211="","",SUMIFS($D$2:$D211,$B$2:$B211,$B211)/$E211)</f>
        <v/>
      </c>
      <c r="G211" s="6">
        <f>IF($E211="","",MAX(0,$E211-SUMIFS($D$2:$D211,$B$2:$B211,$B211)))</f>
        <v/>
      </c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6">
        <f>IF($D211="","",IF(AND($D211=0,SUM($H211:$S211)=0),"OK",IF(SUM($H211:$S211)=0,"Sem detalhe",IF(AND(OR(SUM($H211:$I211)=$D211,SUM($H211:$I211)=0),OR(SUM($J211:$K211)=$D211,SUM($J211:$K211)=0),OR(SUM($L211:$S211)=$D211,SUM($L211:$S211)=0)),"OK","Verificar: "&amp;IF(AND(SUM($H211:$I211)&lt;&gt;$D211,SUM($H211:$I211)&lt;&gt;0),"perfil ","")&amp;IF(AND(SUM($J211:$K211)&lt;&gt;$D211,SUM($J211:$K211)&lt;&gt;0),"gênero ","")&amp;IF(AND(SUM($L211:$S211)&lt;&gt;$D211,SUM($L211:$S211)&lt;&gt;0),"professor","")))))</f>
        <v/>
      </c>
      <c r="U211" s="5" t="n"/>
    </row>
    <row r="212" ht="18" customHeight="1">
      <c r="A212" s="3" t="n">
        <v>46264</v>
      </c>
      <c r="B212" s="4">
        <f>IF($A212="","",CHOOSE(MONTH($A212),"Janeiro","Fevereiro","Março","Abril","Maio","Junho","Julho","Agosto","Setembro","Outubro","Novembro","Dezembro"))</f>
        <v/>
      </c>
      <c r="C212" s="4">
        <f>IF($A212="","",CHOOSE(WEEKDAY($A212),"Domingo","Segunda-feira","Terça-feira","Quarta-feira","Quinta-feira","Sexta-feira","Sábado"))</f>
        <v/>
      </c>
      <c r="D212" s="5" t="n"/>
      <c r="E212" s="6">
        <f>IFERROR(INDEX(Consolidado_Mensal!$B$2:$B$12,MATCH($B212,Consolidado_Mensal!$A$2:$A$12,0)),"")</f>
        <v/>
      </c>
      <c r="F212" s="7">
        <f>IF($E212="","",SUMIFS($D$2:$D212,$B$2:$B212,$B212)/$E212)</f>
        <v/>
      </c>
      <c r="G212" s="6">
        <f>IF($E212="","",MAX(0,$E212-SUMIFS($D$2:$D212,$B$2:$B212,$B212)))</f>
        <v/>
      </c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6">
        <f>IF($D212="","",IF(AND($D212=0,SUM($H212:$S212)=0),"OK",IF(SUM($H212:$S212)=0,"Sem detalhe",IF(AND(OR(SUM($H212:$I212)=$D212,SUM($H212:$I212)=0),OR(SUM($J212:$K212)=$D212,SUM($J212:$K212)=0),OR(SUM($L212:$S212)=$D212,SUM($L212:$S212)=0)),"OK","Verificar: "&amp;IF(AND(SUM($H212:$I212)&lt;&gt;$D212,SUM($H212:$I212)&lt;&gt;0),"perfil ","")&amp;IF(AND(SUM($J212:$K212)&lt;&gt;$D212,SUM($J212:$K212)&lt;&gt;0),"gênero ","")&amp;IF(AND(SUM($L212:$S212)&lt;&gt;$D212,SUM($L212:$S212)&lt;&gt;0),"professor","")))))</f>
        <v/>
      </c>
      <c r="U212" s="5" t="n"/>
    </row>
    <row r="213" ht="18" customHeight="1">
      <c r="A213" s="3" t="n">
        <v>46265</v>
      </c>
      <c r="B213" s="4">
        <f>IF($A213="","",CHOOSE(MONTH($A213),"Janeiro","Fevereiro","Março","Abril","Maio","Junho","Julho","Agosto","Setembro","Outubro","Novembro","Dezembro"))</f>
        <v/>
      </c>
      <c r="C213" s="4">
        <f>IF($A213="","",CHOOSE(WEEKDAY($A213),"Domingo","Segunda-feira","Terça-feira","Quarta-feira","Quinta-feira","Sexta-feira","Sábado"))</f>
        <v/>
      </c>
      <c r="D213" s="5" t="n">
        <v>3</v>
      </c>
      <c r="E213" s="6">
        <f>IFERROR(INDEX(Consolidado_Mensal!$B$2:$B$12,MATCH($B213,Consolidado_Mensal!$A$2:$A$12,0)),"")</f>
        <v/>
      </c>
      <c r="F213" s="7">
        <f>IF($E213="","",SUMIFS($D$2:$D213,$B$2:$B213,$B213)/$E213)</f>
        <v/>
      </c>
      <c r="G213" s="6">
        <f>IF($E213="","",MAX(0,$E213-SUMIFS($D$2:$D213,$B$2:$B213,$B213)))</f>
        <v/>
      </c>
      <c r="H213" s="5" t="n">
        <v>2</v>
      </c>
      <c r="I213" s="5" t="n">
        <v>1</v>
      </c>
      <c r="J213" s="5" t="n">
        <v>1</v>
      </c>
      <c r="K213" s="5" t="n">
        <v>2</v>
      </c>
      <c r="L213" s="5" t="n">
        <v>1</v>
      </c>
      <c r="M213" s="5" t="n">
        <v>2</v>
      </c>
      <c r="N213" s="5" t="n"/>
      <c r="O213" s="5" t="n"/>
      <c r="P213" s="5" t="n"/>
      <c r="Q213" s="5" t="n"/>
      <c r="R213" s="5" t="n"/>
      <c r="S213" s="5" t="n"/>
      <c r="T213" s="6">
        <f>IF($D213="","",IF(AND($D213=0,SUM($H213:$S213)=0),"OK",IF(SUM($H213:$S213)=0,"Sem detalhe",IF(AND(OR(SUM($H213:$I213)=$D213,SUM($H213:$I213)=0),OR(SUM($J213:$K213)=$D213,SUM($J213:$K213)=0),OR(SUM($L213:$S213)=$D213,SUM($L213:$S213)=0)),"OK","Verificar: "&amp;IF(AND(SUM($H213:$I213)&lt;&gt;$D213,SUM($H213:$I213)&lt;&gt;0),"perfil ","")&amp;IF(AND(SUM($J213:$K213)&lt;&gt;$D213,SUM($J213:$K213)&lt;&gt;0),"gênero ","")&amp;IF(AND(SUM($L213:$S213)&lt;&gt;$D213,SUM($L213:$S213)&lt;&gt;0),"professor","")))))</f>
        <v/>
      </c>
      <c r="U213" s="5" t="n"/>
    </row>
    <row r="214" ht="18" customHeight="1">
      <c r="A214" s="3" t="n">
        <v>46266</v>
      </c>
      <c r="B214" s="4">
        <f>IF($A214="","",CHOOSE(MONTH($A214),"Janeiro","Fevereiro","Março","Abril","Maio","Junho","Julho","Agosto","Setembro","Outubro","Novembro","Dezembro"))</f>
        <v/>
      </c>
      <c r="C214" s="4">
        <f>IF($A214="","",CHOOSE(WEEKDAY($A214),"Domingo","Segunda-feira","Terça-feira","Quarta-feira","Quinta-feira","Sexta-feira","Sábado"))</f>
        <v/>
      </c>
      <c r="D214" s="5" t="n"/>
      <c r="E214" s="6">
        <f>IFERROR(INDEX(Consolidado_Mensal!$B$2:$B$12,MATCH($B214,Consolidado_Mensal!$A$2:$A$12,0)),"")</f>
        <v/>
      </c>
      <c r="F214" s="7">
        <f>IF($E214="","",SUMIFS($D$2:$D214,$B$2:$B214,$B214)/$E214)</f>
        <v/>
      </c>
      <c r="G214" s="6">
        <f>IF($E214="","",MAX(0,$E214-SUMIFS($D$2:$D214,$B$2:$B214,$B214)))</f>
        <v/>
      </c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6">
        <f>IF($D214="","",IF(AND($D214=0,SUM($H214:$S214)=0),"OK",IF(SUM($H214:$S214)=0,"Sem detalhe",IF(AND(OR(SUM($H214:$I214)=$D214,SUM($H214:$I214)=0),OR(SUM($J214:$K214)=$D214,SUM($J214:$K214)=0),OR(SUM($L214:$S214)=$D214,SUM($L214:$S214)=0)),"OK","Verificar: "&amp;IF(AND(SUM($H214:$I214)&lt;&gt;$D214,SUM($H214:$I214)&lt;&gt;0),"perfil ","")&amp;IF(AND(SUM($J214:$K214)&lt;&gt;$D214,SUM($J214:$K214)&lt;&gt;0),"gênero ","")&amp;IF(AND(SUM($L214:$S214)&lt;&gt;$D214,SUM($L214:$S214)&lt;&gt;0),"professor","")))))</f>
        <v/>
      </c>
      <c r="U214" s="5" t="n"/>
    </row>
    <row r="215" ht="18" customHeight="1">
      <c r="A215" s="3" t="n">
        <v>46267</v>
      </c>
      <c r="B215" s="4">
        <f>IF($A215="","",CHOOSE(MONTH($A215),"Janeiro","Fevereiro","Março","Abril","Maio","Junho","Julho","Agosto","Setembro","Outubro","Novembro","Dezembro"))</f>
        <v/>
      </c>
      <c r="C215" s="4">
        <f>IF($A215="","",CHOOSE(WEEKDAY($A215),"Domingo","Segunda-feira","Terça-feira","Quarta-feira","Quinta-feira","Sexta-feira","Sábado"))</f>
        <v/>
      </c>
      <c r="D215" s="5" t="n">
        <v>1</v>
      </c>
      <c r="E215" s="6">
        <f>IFERROR(INDEX(Consolidado_Mensal!$B$2:$B$12,MATCH($B215,Consolidado_Mensal!$A$2:$A$12,0)),"")</f>
        <v/>
      </c>
      <c r="F215" s="7">
        <f>IF($E215="","",SUMIFS($D$2:$D215,$B$2:$B215,$B215)/$E215)</f>
        <v/>
      </c>
      <c r="G215" s="6">
        <f>IF($E215="","",MAX(0,$E215-SUMIFS($D$2:$D215,$B$2:$B215,$B215)))</f>
        <v/>
      </c>
      <c r="H215" s="5" t="n"/>
      <c r="I215" s="5" t="n">
        <v>1</v>
      </c>
      <c r="J215" s="5" t="n"/>
      <c r="K215" s="5" t="n">
        <v>1</v>
      </c>
      <c r="L215" s="5" t="n">
        <v>1</v>
      </c>
      <c r="M215" s="5" t="n"/>
      <c r="N215" s="5" t="n"/>
      <c r="O215" s="5" t="n"/>
      <c r="P215" s="5" t="n"/>
      <c r="Q215" s="5" t="n"/>
      <c r="R215" s="5" t="n"/>
      <c r="S215" s="5" t="n"/>
      <c r="T215" s="6">
        <f>IF($D215="","",IF(AND($D215=0,SUM($H215:$S215)=0),"OK",IF(SUM($H215:$S215)=0,"Sem detalhe",IF(AND(OR(SUM($H215:$I215)=$D215,SUM($H215:$I215)=0),OR(SUM($J215:$K215)=$D215,SUM($J215:$K215)=0),OR(SUM($L215:$S215)=$D215,SUM($L215:$S215)=0)),"OK","Verificar: "&amp;IF(AND(SUM($H215:$I215)&lt;&gt;$D215,SUM($H215:$I215)&lt;&gt;0),"perfil ","")&amp;IF(AND(SUM($J215:$K215)&lt;&gt;$D215,SUM($J215:$K215)&lt;&gt;0),"gênero ","")&amp;IF(AND(SUM($L215:$S215)&lt;&gt;$D215,SUM($L215:$S215)&lt;&gt;0),"professor","")))))</f>
        <v/>
      </c>
      <c r="U215" s="5" t="n"/>
    </row>
    <row r="216" ht="18" customHeight="1">
      <c r="A216" s="3" t="n">
        <v>46268</v>
      </c>
      <c r="B216" s="4">
        <f>IF($A216="","",CHOOSE(MONTH($A216),"Janeiro","Fevereiro","Março","Abril","Maio","Junho","Julho","Agosto","Setembro","Outubro","Novembro","Dezembro"))</f>
        <v/>
      </c>
      <c r="C216" s="4">
        <f>IF($A216="","",CHOOSE(WEEKDAY($A216),"Domingo","Segunda-feira","Terça-feira","Quarta-feira","Quinta-feira","Sexta-feira","Sábado"))</f>
        <v/>
      </c>
      <c r="D216" s="5" t="n">
        <v>4</v>
      </c>
      <c r="E216" s="6">
        <f>IFERROR(INDEX(Consolidado_Mensal!$B$2:$B$12,MATCH($B216,Consolidado_Mensal!$A$2:$A$12,0)),"")</f>
        <v/>
      </c>
      <c r="F216" s="7">
        <f>IF($E216="","",SUMIFS($D$2:$D216,$B$2:$B216,$B216)/$E216)</f>
        <v/>
      </c>
      <c r="G216" s="6">
        <f>IF($E216="","",MAX(0,$E216-SUMIFS($D$2:$D216,$B$2:$B216,$B216)))</f>
        <v/>
      </c>
      <c r="H216" s="5" t="n">
        <v>3</v>
      </c>
      <c r="I216" s="5" t="n">
        <v>1</v>
      </c>
      <c r="J216" s="5" t="n">
        <v>1</v>
      </c>
      <c r="K216" s="5" t="n">
        <v>3</v>
      </c>
      <c r="L216" s="5" t="n">
        <v>1</v>
      </c>
      <c r="M216" s="5" t="n"/>
      <c r="N216" s="5" t="n">
        <v>1</v>
      </c>
      <c r="O216" s="5" t="n">
        <v>2</v>
      </c>
      <c r="P216" s="5" t="n"/>
      <c r="Q216" s="5" t="n"/>
      <c r="R216" s="5" t="n"/>
      <c r="S216" s="5" t="n"/>
      <c r="T216" s="6">
        <f>IF($D216="","",IF(AND($D216=0,SUM($H216:$S216)=0),"OK",IF(SUM($H216:$S216)=0,"Sem detalhe",IF(AND(OR(SUM($H216:$I216)=$D216,SUM($H216:$I216)=0),OR(SUM($J216:$K216)=$D216,SUM($J216:$K216)=0),OR(SUM($L216:$S216)=$D216,SUM($L216:$S216)=0)),"OK","Verificar: "&amp;IF(AND(SUM($H216:$I216)&lt;&gt;$D216,SUM($H216:$I216)&lt;&gt;0),"perfil ","")&amp;IF(AND(SUM($J216:$K216)&lt;&gt;$D216,SUM($J216:$K216)&lt;&gt;0),"gênero ","")&amp;IF(AND(SUM($L216:$S216)&lt;&gt;$D216,SUM($L216:$S216)&lt;&gt;0),"professor","")))))</f>
        <v/>
      </c>
      <c r="U216" s="5" t="n"/>
    </row>
    <row r="217" ht="18" customHeight="1">
      <c r="A217" s="3" t="n">
        <v>46269</v>
      </c>
      <c r="B217" s="4">
        <f>IF($A217="","",CHOOSE(MONTH($A217),"Janeiro","Fevereiro","Março","Abril","Maio","Junho","Julho","Agosto","Setembro","Outubro","Novembro","Dezembro"))</f>
        <v/>
      </c>
      <c r="C217" s="4">
        <f>IF($A217="","",CHOOSE(WEEKDAY($A217),"Domingo","Segunda-feira","Terça-feira","Quarta-feira","Quinta-feira","Sexta-feira","Sábado"))</f>
        <v/>
      </c>
      <c r="D217" s="5" t="n">
        <v>1</v>
      </c>
      <c r="E217" s="6">
        <f>IFERROR(INDEX(Consolidado_Mensal!$B$2:$B$12,MATCH($B217,Consolidado_Mensal!$A$2:$A$12,0)),"")</f>
        <v/>
      </c>
      <c r="F217" s="7">
        <f>IF($E217="","",SUMIFS($D$2:$D217,$B$2:$B217,$B217)/$E217)</f>
        <v/>
      </c>
      <c r="G217" s="6">
        <f>IF($E217="","",MAX(0,$E217-SUMIFS($D$2:$D217,$B$2:$B217,$B217)))</f>
        <v/>
      </c>
      <c r="H217" s="5" t="n">
        <v>1</v>
      </c>
      <c r="I217" s="5" t="n"/>
      <c r="J217" s="5" t="n"/>
      <c r="K217" s="5" t="n">
        <v>1</v>
      </c>
      <c r="L217" s="5" t="n">
        <v>1</v>
      </c>
      <c r="M217" s="5" t="n"/>
      <c r="N217" s="5" t="n"/>
      <c r="O217" s="5" t="n"/>
      <c r="P217" s="5" t="n"/>
      <c r="Q217" s="5" t="n"/>
      <c r="R217" s="5" t="n"/>
      <c r="S217" s="5" t="n"/>
      <c r="T217" s="6">
        <f>IF($D217="","",IF(AND($D217=0,SUM($H217:$S217)=0),"OK",IF(SUM($H217:$S217)=0,"Sem detalhe",IF(AND(OR(SUM($H217:$I217)=$D217,SUM($H217:$I217)=0),OR(SUM($J217:$K217)=$D217,SUM($J217:$K217)=0),OR(SUM($L217:$S217)=$D217,SUM($L217:$S217)=0)),"OK","Verificar: "&amp;IF(AND(SUM($H217:$I217)&lt;&gt;$D217,SUM($H217:$I217)&lt;&gt;0),"perfil ","")&amp;IF(AND(SUM($J217:$K217)&lt;&gt;$D217,SUM($J217:$K217)&lt;&gt;0),"gênero ","")&amp;IF(AND(SUM($L217:$S217)&lt;&gt;$D217,SUM($L217:$S217)&lt;&gt;0),"professor","")))))</f>
        <v/>
      </c>
      <c r="U217" s="5" t="n"/>
    </row>
    <row r="218" ht="18" customHeight="1">
      <c r="A218" s="3" t="n">
        <v>46270</v>
      </c>
      <c r="B218" s="4">
        <f>IF($A218="","",CHOOSE(MONTH($A218),"Janeiro","Fevereiro","Março","Abril","Maio","Junho","Julho","Agosto","Setembro","Outubro","Novembro","Dezembro"))</f>
        <v/>
      </c>
      <c r="C218" s="4">
        <f>IF($A218="","",CHOOSE(WEEKDAY($A218),"Domingo","Segunda-feira","Terça-feira","Quarta-feira","Quinta-feira","Sexta-feira","Sábado"))</f>
        <v/>
      </c>
      <c r="D218" s="5" t="n"/>
      <c r="E218" s="6">
        <f>IFERROR(INDEX(Consolidado_Mensal!$B$2:$B$12,MATCH($B218,Consolidado_Mensal!$A$2:$A$12,0)),"")</f>
        <v/>
      </c>
      <c r="F218" s="7">
        <f>IF($E218="","",SUMIFS($D$2:$D218,$B$2:$B218,$B218)/$E218)</f>
        <v/>
      </c>
      <c r="G218" s="6">
        <f>IF($E218="","",MAX(0,$E218-SUMIFS($D$2:$D218,$B$2:$B218,$B218)))</f>
        <v/>
      </c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6">
        <f>IF($D218="","",IF(AND($D218=0,SUM($H218:$S218)=0),"OK",IF(SUM($H218:$S218)=0,"Sem detalhe",IF(AND(OR(SUM($H218:$I218)=$D218,SUM($H218:$I218)=0),OR(SUM($J218:$K218)=$D218,SUM($J218:$K218)=0),OR(SUM($L218:$S218)=$D218,SUM($L218:$S218)=0)),"OK","Verificar: "&amp;IF(AND(SUM($H218:$I218)&lt;&gt;$D218,SUM($H218:$I218)&lt;&gt;0),"perfil ","")&amp;IF(AND(SUM($J218:$K218)&lt;&gt;$D218,SUM($J218:$K218)&lt;&gt;0),"gênero ","")&amp;IF(AND(SUM($L218:$S218)&lt;&gt;$D218,SUM($L218:$S218)&lt;&gt;0),"professor","")))))</f>
        <v/>
      </c>
      <c r="U218" s="5" t="n"/>
    </row>
    <row r="219" ht="18" customHeight="1">
      <c r="A219" s="3" t="n">
        <v>46271</v>
      </c>
      <c r="B219" s="4">
        <f>IF($A219="","",CHOOSE(MONTH($A219),"Janeiro","Fevereiro","Março","Abril","Maio","Junho","Julho","Agosto","Setembro","Outubro","Novembro","Dezembro"))</f>
        <v/>
      </c>
      <c r="C219" s="4">
        <f>IF($A219="","",CHOOSE(WEEKDAY($A219),"Domingo","Segunda-feira","Terça-feira","Quarta-feira","Quinta-feira","Sexta-feira","Sábado"))</f>
        <v/>
      </c>
      <c r="D219" s="5" t="n"/>
      <c r="E219" s="6">
        <f>IFERROR(INDEX(Consolidado_Mensal!$B$2:$B$12,MATCH($B219,Consolidado_Mensal!$A$2:$A$12,0)),"")</f>
        <v/>
      </c>
      <c r="F219" s="7">
        <f>IF($E219="","",SUMIFS($D$2:$D219,$B$2:$B219,$B219)/$E219)</f>
        <v/>
      </c>
      <c r="G219" s="6">
        <f>IF($E219="","",MAX(0,$E219-SUMIFS($D$2:$D219,$B$2:$B219,$B219)))</f>
        <v/>
      </c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6">
        <f>IF($D219="","",IF(AND($D219=0,SUM($H219:$S219)=0),"OK",IF(SUM($H219:$S219)=0,"Sem detalhe",IF(AND(OR(SUM($H219:$I219)=$D219,SUM($H219:$I219)=0),OR(SUM($J219:$K219)=$D219,SUM($J219:$K219)=0),OR(SUM($L219:$S219)=$D219,SUM($L219:$S219)=0)),"OK","Verificar: "&amp;IF(AND(SUM($H219:$I219)&lt;&gt;$D219,SUM($H219:$I219)&lt;&gt;0),"perfil ","")&amp;IF(AND(SUM($J219:$K219)&lt;&gt;$D219,SUM($J219:$K219)&lt;&gt;0),"gênero ","")&amp;IF(AND(SUM($L219:$S219)&lt;&gt;$D219,SUM($L219:$S219)&lt;&gt;0),"professor","")))))</f>
        <v/>
      </c>
      <c r="U219" s="5" t="n"/>
    </row>
    <row r="220" ht="18" customHeight="1">
      <c r="A220" s="3" t="n">
        <v>46272</v>
      </c>
      <c r="B220" s="4">
        <f>IF($A220="","",CHOOSE(MONTH($A220),"Janeiro","Fevereiro","Março","Abril","Maio","Junho","Julho","Agosto","Setembro","Outubro","Novembro","Dezembro"))</f>
        <v/>
      </c>
      <c r="C220" s="4">
        <f>IF($A220="","",CHOOSE(WEEKDAY($A220),"Domingo","Segunda-feira","Terça-feira","Quarta-feira","Quinta-feira","Sexta-feira","Sábado"))</f>
        <v/>
      </c>
      <c r="D220" s="5" t="n"/>
      <c r="E220" s="6">
        <f>IFERROR(INDEX(Consolidado_Mensal!$B$2:$B$12,MATCH($B220,Consolidado_Mensal!$A$2:$A$12,0)),"")</f>
        <v/>
      </c>
      <c r="F220" s="7">
        <f>IF($E220="","",SUMIFS($D$2:$D220,$B$2:$B220,$B220)/$E220)</f>
        <v/>
      </c>
      <c r="G220" s="6">
        <f>IF($E220="","",MAX(0,$E220-SUMIFS($D$2:$D220,$B$2:$B220,$B220)))</f>
        <v/>
      </c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6">
        <f>IF($D220="","",IF(AND($D220=0,SUM($H220:$S220)=0),"OK",IF(SUM($H220:$S220)=0,"Sem detalhe",IF(AND(OR(SUM($H220:$I220)=$D220,SUM($H220:$I220)=0),OR(SUM($J220:$K220)=$D220,SUM($J220:$K220)=0),OR(SUM($L220:$S220)=$D220,SUM($L220:$S220)=0)),"OK","Verificar: "&amp;IF(AND(SUM($H220:$I220)&lt;&gt;$D220,SUM($H220:$I220)&lt;&gt;0),"perfil ","")&amp;IF(AND(SUM($J220:$K220)&lt;&gt;$D220,SUM($J220:$K220)&lt;&gt;0),"gênero ","")&amp;IF(AND(SUM($L220:$S220)&lt;&gt;$D220,SUM($L220:$S220)&lt;&gt;0),"professor","")))))</f>
        <v/>
      </c>
      <c r="U220" s="5" t="n"/>
    </row>
    <row r="221" ht="18" customHeight="1">
      <c r="A221" s="3" t="n">
        <v>46273</v>
      </c>
      <c r="B221" s="4">
        <f>IF($A221="","",CHOOSE(MONTH($A221),"Janeiro","Fevereiro","Março","Abril","Maio","Junho","Julho","Agosto","Setembro","Outubro","Novembro","Dezembro"))</f>
        <v/>
      </c>
      <c r="C221" s="4">
        <f>IF($A221="","",CHOOSE(WEEKDAY($A221),"Domingo","Segunda-feira","Terça-feira","Quarta-feira","Quinta-feira","Sexta-feira","Sábado"))</f>
        <v/>
      </c>
      <c r="D221" s="5" t="n">
        <v>1</v>
      </c>
      <c r="E221" s="6">
        <f>IFERROR(INDEX(Consolidado_Mensal!$B$2:$B$12,MATCH($B221,Consolidado_Mensal!$A$2:$A$12,0)),"")</f>
        <v/>
      </c>
      <c r="F221" s="7">
        <f>IF($E221="","",SUMIFS($D$2:$D221,$B$2:$B221,$B221)/$E221)</f>
        <v/>
      </c>
      <c r="G221" s="6">
        <f>IF($E221="","",MAX(0,$E221-SUMIFS($D$2:$D221,$B$2:$B221,$B221)))</f>
        <v/>
      </c>
      <c r="H221" s="5" t="n">
        <v>1</v>
      </c>
      <c r="I221" s="5" t="n"/>
      <c r="J221" s="5" t="n"/>
      <c r="K221" s="5" t="n">
        <v>1</v>
      </c>
      <c r="L221" s="5" t="n">
        <v>1</v>
      </c>
      <c r="M221" s="5" t="n"/>
      <c r="N221" s="5" t="n"/>
      <c r="O221" s="5" t="n"/>
      <c r="P221" s="5" t="n"/>
      <c r="Q221" s="5" t="n"/>
      <c r="R221" s="5" t="n"/>
      <c r="S221" s="5" t="n"/>
      <c r="T221" s="6">
        <f>IF($D221="","",IF(AND($D221=0,SUM($H221:$S221)=0),"OK",IF(SUM($H221:$S221)=0,"Sem detalhe",IF(AND(OR(SUM($H221:$I221)=$D221,SUM($H221:$I221)=0),OR(SUM($J221:$K221)=$D221,SUM($J221:$K221)=0),OR(SUM($L221:$S221)=$D221,SUM($L221:$S221)=0)),"OK","Verificar: "&amp;IF(AND(SUM($H221:$I221)&lt;&gt;$D221,SUM($H221:$I221)&lt;&gt;0),"perfil ","")&amp;IF(AND(SUM($J221:$K221)&lt;&gt;$D221,SUM($J221:$K221)&lt;&gt;0),"gênero ","")&amp;IF(AND(SUM($L221:$S221)&lt;&gt;$D221,SUM($L221:$S221)&lt;&gt;0),"professor","")))))</f>
        <v/>
      </c>
      <c r="U221" s="5" t="n"/>
    </row>
    <row r="222" ht="18" customHeight="1">
      <c r="A222" s="3" t="n">
        <v>46274</v>
      </c>
      <c r="B222" s="4">
        <f>IF($A222="","",CHOOSE(MONTH($A222),"Janeiro","Fevereiro","Março","Abril","Maio","Junho","Julho","Agosto","Setembro","Outubro","Novembro","Dezembro"))</f>
        <v/>
      </c>
      <c r="C222" s="4">
        <f>IF($A222="","",CHOOSE(WEEKDAY($A222),"Domingo","Segunda-feira","Terça-feira","Quarta-feira","Quinta-feira","Sexta-feira","Sábado"))</f>
        <v/>
      </c>
      <c r="D222" s="5" t="n">
        <v>3</v>
      </c>
      <c r="E222" s="6">
        <f>IFERROR(INDEX(Consolidado_Mensal!$B$2:$B$12,MATCH($B222,Consolidado_Mensal!$A$2:$A$12,0)),"")</f>
        <v/>
      </c>
      <c r="F222" s="7">
        <f>IF($E222="","",SUMIFS($D$2:$D222,$B$2:$B222,$B222)/$E222)</f>
        <v/>
      </c>
      <c r="G222" s="6">
        <f>IF($E222="","",MAX(0,$E222-SUMIFS($D$2:$D222,$B$2:$B222,$B222)))</f>
        <v/>
      </c>
      <c r="H222" s="5" t="n">
        <v>3</v>
      </c>
      <c r="I222" s="5" t="n"/>
      <c r="J222" s="5" t="n">
        <v>1</v>
      </c>
      <c r="K222" s="5" t="n">
        <v>2</v>
      </c>
      <c r="L222" s="5" t="n">
        <v>1</v>
      </c>
      <c r="M222" s="5" t="n"/>
      <c r="N222" s="5" t="n"/>
      <c r="O222" s="5" t="n">
        <v>2</v>
      </c>
      <c r="P222" s="5" t="n"/>
      <c r="Q222" s="5" t="n"/>
      <c r="R222" s="5" t="n"/>
      <c r="S222" s="5" t="n"/>
      <c r="T222" s="6">
        <f>IF($D222="","",IF(AND($D222=0,SUM($H222:$S222)=0),"OK",IF(SUM($H222:$S222)=0,"Sem detalhe",IF(AND(OR(SUM($H222:$I222)=$D222,SUM($H222:$I222)=0),OR(SUM($J222:$K222)=$D222,SUM($J222:$K222)=0),OR(SUM($L222:$S222)=$D222,SUM($L222:$S222)=0)),"OK","Verificar: "&amp;IF(AND(SUM($H222:$I222)&lt;&gt;$D222,SUM($H222:$I222)&lt;&gt;0),"perfil ","")&amp;IF(AND(SUM($J222:$K222)&lt;&gt;$D222,SUM($J222:$K222)&lt;&gt;0),"gênero ","")&amp;IF(AND(SUM($L222:$S222)&lt;&gt;$D222,SUM($L222:$S222)&lt;&gt;0),"professor","")))))</f>
        <v/>
      </c>
      <c r="U222" s="5" t="n"/>
    </row>
    <row r="223" ht="18" customHeight="1">
      <c r="A223" s="3" t="n">
        <v>46275</v>
      </c>
      <c r="B223" s="4">
        <f>IF($A223="","",CHOOSE(MONTH($A223),"Janeiro","Fevereiro","Março","Abril","Maio","Junho","Julho","Agosto","Setembro","Outubro","Novembro","Dezembro"))</f>
        <v/>
      </c>
      <c r="C223" s="4">
        <f>IF($A223="","",CHOOSE(WEEKDAY($A223),"Domingo","Segunda-feira","Terça-feira","Quarta-feira","Quinta-feira","Sexta-feira","Sábado"))</f>
        <v/>
      </c>
      <c r="D223" s="5" t="n"/>
      <c r="E223" s="6">
        <f>IFERROR(INDEX(Consolidado_Mensal!$B$2:$B$12,MATCH($B223,Consolidado_Mensal!$A$2:$A$12,0)),"")</f>
        <v/>
      </c>
      <c r="F223" s="7">
        <f>IF($E223="","",SUMIFS($D$2:$D223,$B$2:$B223,$B223)/$E223)</f>
        <v/>
      </c>
      <c r="G223" s="6">
        <f>IF($E223="","",MAX(0,$E223-SUMIFS($D$2:$D223,$B$2:$B223,$B223)))</f>
        <v/>
      </c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6">
        <f>IF($D223="","",IF(AND($D223=0,SUM($H223:$S223)=0),"OK",IF(SUM($H223:$S223)=0,"Sem detalhe",IF(AND(OR(SUM($H223:$I223)=$D223,SUM($H223:$I223)=0),OR(SUM($J223:$K223)=$D223,SUM($J223:$K223)=0),OR(SUM($L223:$S223)=$D223,SUM($L223:$S223)=0)),"OK","Verificar: "&amp;IF(AND(SUM($H223:$I223)&lt;&gt;$D223,SUM($H223:$I223)&lt;&gt;0),"perfil ","")&amp;IF(AND(SUM($J223:$K223)&lt;&gt;$D223,SUM($J223:$K223)&lt;&gt;0),"gênero ","")&amp;IF(AND(SUM($L223:$S223)&lt;&gt;$D223,SUM($L223:$S223)&lt;&gt;0),"professor","")))))</f>
        <v/>
      </c>
      <c r="U223" s="5" t="n"/>
    </row>
    <row r="224" ht="18" customHeight="1">
      <c r="A224" s="3" t="n">
        <v>46276</v>
      </c>
      <c r="B224" s="4">
        <f>IF($A224="","",CHOOSE(MONTH($A224),"Janeiro","Fevereiro","Março","Abril","Maio","Junho","Julho","Agosto","Setembro","Outubro","Novembro","Dezembro"))</f>
        <v/>
      </c>
      <c r="C224" s="4">
        <f>IF($A224="","",CHOOSE(WEEKDAY($A224),"Domingo","Segunda-feira","Terça-feira","Quarta-feira","Quinta-feira","Sexta-feira","Sábado"))</f>
        <v/>
      </c>
      <c r="D224" s="5" t="n"/>
      <c r="E224" s="6">
        <f>IFERROR(INDEX(Consolidado_Mensal!$B$2:$B$12,MATCH($B224,Consolidado_Mensal!$A$2:$A$12,0)),"")</f>
        <v/>
      </c>
      <c r="F224" s="7">
        <f>IF($E224="","",SUMIFS($D$2:$D224,$B$2:$B224,$B224)/$E224)</f>
        <v/>
      </c>
      <c r="G224" s="6">
        <f>IF($E224="","",MAX(0,$E224-SUMIFS($D$2:$D224,$B$2:$B224,$B224)))</f>
        <v/>
      </c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6">
        <f>IF($D224="","",IF(AND($D224=0,SUM($H224:$S224)=0),"OK",IF(SUM($H224:$S224)=0,"Sem detalhe",IF(AND(OR(SUM($H224:$I224)=$D224,SUM($H224:$I224)=0),OR(SUM($J224:$K224)=$D224,SUM($J224:$K224)=0),OR(SUM($L224:$S224)=$D224,SUM($L224:$S224)=0)),"OK","Verificar: "&amp;IF(AND(SUM($H224:$I224)&lt;&gt;$D224,SUM($H224:$I224)&lt;&gt;0),"perfil ","")&amp;IF(AND(SUM($J224:$K224)&lt;&gt;$D224,SUM($J224:$K224)&lt;&gt;0),"gênero ","")&amp;IF(AND(SUM($L224:$S224)&lt;&gt;$D224,SUM($L224:$S224)&lt;&gt;0),"professor","")))))</f>
        <v/>
      </c>
      <c r="U224" s="5" t="n"/>
    </row>
    <row r="225" ht="18" customHeight="1">
      <c r="A225" s="3" t="n">
        <v>46277</v>
      </c>
      <c r="B225" s="4">
        <f>IF($A225="","",CHOOSE(MONTH($A225),"Janeiro","Fevereiro","Março","Abril","Maio","Junho","Julho","Agosto","Setembro","Outubro","Novembro","Dezembro"))</f>
        <v/>
      </c>
      <c r="C225" s="4">
        <f>IF($A225="","",CHOOSE(WEEKDAY($A225),"Domingo","Segunda-feira","Terça-feira","Quarta-feira","Quinta-feira","Sexta-feira","Sábado"))</f>
        <v/>
      </c>
      <c r="D225" s="5" t="n"/>
      <c r="E225" s="6">
        <f>IFERROR(INDEX(Consolidado_Mensal!$B$2:$B$12,MATCH($B225,Consolidado_Mensal!$A$2:$A$12,0)),"")</f>
        <v/>
      </c>
      <c r="F225" s="7">
        <f>IF($E225="","",SUMIFS($D$2:$D225,$B$2:$B225,$B225)/$E225)</f>
        <v/>
      </c>
      <c r="G225" s="6">
        <f>IF($E225="","",MAX(0,$E225-SUMIFS($D$2:$D225,$B$2:$B225,$B225)))</f>
        <v/>
      </c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6">
        <f>IF($D225="","",IF(AND($D225=0,SUM($H225:$S225)=0),"OK",IF(SUM($H225:$S225)=0,"Sem detalhe",IF(AND(OR(SUM($H225:$I225)=$D225,SUM($H225:$I225)=0),OR(SUM($J225:$K225)=$D225,SUM($J225:$K225)=0),OR(SUM($L225:$S225)=$D225,SUM($L225:$S225)=0)),"OK","Verificar: "&amp;IF(AND(SUM($H225:$I225)&lt;&gt;$D225,SUM($H225:$I225)&lt;&gt;0),"perfil ","")&amp;IF(AND(SUM($J225:$K225)&lt;&gt;$D225,SUM($J225:$K225)&lt;&gt;0),"gênero ","")&amp;IF(AND(SUM($L225:$S225)&lt;&gt;$D225,SUM($L225:$S225)&lt;&gt;0),"professor","")))))</f>
        <v/>
      </c>
      <c r="U225" s="5" t="n"/>
    </row>
    <row r="226" ht="18" customHeight="1">
      <c r="A226" s="3" t="n">
        <v>46278</v>
      </c>
      <c r="B226" s="4">
        <f>IF($A226="","",CHOOSE(MONTH($A226),"Janeiro","Fevereiro","Março","Abril","Maio","Junho","Julho","Agosto","Setembro","Outubro","Novembro","Dezembro"))</f>
        <v/>
      </c>
      <c r="C226" s="4">
        <f>IF($A226="","",CHOOSE(WEEKDAY($A226),"Domingo","Segunda-feira","Terça-feira","Quarta-feira","Quinta-feira","Sexta-feira","Sábado"))</f>
        <v/>
      </c>
      <c r="D226" s="5" t="n"/>
      <c r="E226" s="6">
        <f>IFERROR(INDEX(Consolidado_Mensal!$B$2:$B$12,MATCH($B226,Consolidado_Mensal!$A$2:$A$12,0)),"")</f>
        <v/>
      </c>
      <c r="F226" s="7">
        <f>IF($E226="","",SUMIFS($D$2:$D226,$B$2:$B226,$B226)/$E226)</f>
        <v/>
      </c>
      <c r="G226" s="6">
        <f>IF($E226="","",MAX(0,$E226-SUMIFS($D$2:$D226,$B$2:$B226,$B226)))</f>
        <v/>
      </c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6">
        <f>IF($D226="","",IF(AND($D226=0,SUM($H226:$S226)=0),"OK",IF(SUM($H226:$S226)=0,"Sem detalhe",IF(AND(OR(SUM($H226:$I226)=$D226,SUM($H226:$I226)=0),OR(SUM($J226:$K226)=$D226,SUM($J226:$K226)=0),OR(SUM($L226:$S226)=$D226,SUM($L226:$S226)=0)),"OK","Verificar: "&amp;IF(AND(SUM($H226:$I226)&lt;&gt;$D226,SUM($H226:$I226)&lt;&gt;0),"perfil ","")&amp;IF(AND(SUM($J226:$K226)&lt;&gt;$D226,SUM($J226:$K226)&lt;&gt;0),"gênero ","")&amp;IF(AND(SUM($L226:$S226)&lt;&gt;$D226,SUM($L226:$S226)&lt;&gt;0),"professor","")))))</f>
        <v/>
      </c>
      <c r="U226" s="5" t="n"/>
    </row>
    <row r="227" ht="18" customHeight="1">
      <c r="A227" s="3" t="n">
        <v>46279</v>
      </c>
      <c r="B227" s="4">
        <f>IF($A227="","",CHOOSE(MONTH($A227),"Janeiro","Fevereiro","Março","Abril","Maio","Junho","Julho","Agosto","Setembro","Outubro","Novembro","Dezembro"))</f>
        <v/>
      </c>
      <c r="C227" s="4">
        <f>IF($A227="","",CHOOSE(WEEKDAY($A227),"Domingo","Segunda-feira","Terça-feira","Quarta-feira","Quinta-feira","Sexta-feira","Sábado"))</f>
        <v/>
      </c>
      <c r="D227" s="5" t="n"/>
      <c r="E227" s="6">
        <f>IFERROR(INDEX(Consolidado_Mensal!$B$2:$B$12,MATCH($B227,Consolidado_Mensal!$A$2:$A$12,0)),"")</f>
        <v/>
      </c>
      <c r="F227" s="7">
        <f>IF($E227="","",SUMIFS($D$2:$D227,$B$2:$B227,$B227)/$E227)</f>
        <v/>
      </c>
      <c r="G227" s="6">
        <f>IF($E227="","",MAX(0,$E227-SUMIFS($D$2:$D227,$B$2:$B227,$B227)))</f>
        <v/>
      </c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6">
        <f>IF($D227="","",IF(AND($D227=0,SUM($H227:$S227)=0),"OK",IF(SUM($H227:$S227)=0,"Sem detalhe",IF(AND(OR(SUM($H227:$I227)=$D227,SUM($H227:$I227)=0),OR(SUM($J227:$K227)=$D227,SUM($J227:$K227)=0),OR(SUM($L227:$S227)=$D227,SUM($L227:$S227)=0)),"OK","Verificar: "&amp;IF(AND(SUM($H227:$I227)&lt;&gt;$D227,SUM($H227:$I227)&lt;&gt;0),"perfil ","")&amp;IF(AND(SUM($J227:$K227)&lt;&gt;$D227,SUM($J227:$K227)&lt;&gt;0),"gênero ","")&amp;IF(AND(SUM($L227:$S227)&lt;&gt;$D227,SUM($L227:$S227)&lt;&gt;0),"professor","")))))</f>
        <v/>
      </c>
      <c r="U227" s="5" t="n"/>
    </row>
    <row r="228" ht="18" customHeight="1">
      <c r="A228" s="3" t="n">
        <v>46280</v>
      </c>
      <c r="B228" s="4">
        <f>IF($A228="","",CHOOSE(MONTH($A228),"Janeiro","Fevereiro","Março","Abril","Maio","Junho","Julho","Agosto","Setembro","Outubro","Novembro","Dezembro"))</f>
        <v/>
      </c>
      <c r="C228" s="4">
        <f>IF($A228="","",CHOOSE(WEEKDAY($A228),"Domingo","Segunda-feira","Terça-feira","Quarta-feira","Quinta-feira","Sexta-feira","Sábado"))</f>
        <v/>
      </c>
      <c r="D228" s="5" t="n">
        <v>2</v>
      </c>
      <c r="E228" s="6">
        <f>IFERROR(INDEX(Consolidado_Mensal!$B$2:$B$12,MATCH($B228,Consolidado_Mensal!$A$2:$A$12,0)),"")</f>
        <v/>
      </c>
      <c r="F228" s="7">
        <f>IF($E228="","",SUMIFS($D$2:$D228,$B$2:$B228,$B228)/$E228)</f>
        <v/>
      </c>
      <c r="G228" s="6">
        <f>IF($E228="","",MAX(0,$E228-SUMIFS($D$2:$D228,$B$2:$B228,$B228)))</f>
        <v/>
      </c>
      <c r="H228" s="5" t="n">
        <v>2</v>
      </c>
      <c r="I228" s="5" t="n"/>
      <c r="J228" s="5" t="n">
        <v>1</v>
      </c>
      <c r="K228" s="5" t="n">
        <v>1</v>
      </c>
      <c r="L228" s="5" t="n">
        <v>2</v>
      </c>
      <c r="M228" s="5" t="n"/>
      <c r="N228" s="5" t="n"/>
      <c r="O228" s="5" t="n"/>
      <c r="P228" s="5" t="n"/>
      <c r="Q228" s="5" t="n"/>
      <c r="R228" s="5" t="n"/>
      <c r="S228" s="5" t="n"/>
      <c r="T228" s="6">
        <f>IF($D228="","",IF(AND($D228=0,SUM($H228:$S228)=0),"OK",IF(SUM($H228:$S228)=0,"Sem detalhe",IF(AND(OR(SUM($H228:$I228)=$D228,SUM($H228:$I228)=0),OR(SUM($J228:$K228)=$D228,SUM($J228:$K228)=0),OR(SUM($L228:$S228)=$D228,SUM($L228:$S228)=0)),"OK","Verificar: "&amp;IF(AND(SUM($H228:$I228)&lt;&gt;$D228,SUM($H228:$I228)&lt;&gt;0),"perfil ","")&amp;IF(AND(SUM($J228:$K228)&lt;&gt;$D228,SUM($J228:$K228)&lt;&gt;0),"gênero ","")&amp;IF(AND(SUM($L228:$S228)&lt;&gt;$D228,SUM($L228:$S228)&lt;&gt;0),"professor","")))))</f>
        <v/>
      </c>
      <c r="U228" s="5" t="n"/>
    </row>
    <row r="229" ht="18" customHeight="1">
      <c r="A229" s="3" t="n">
        <v>46281</v>
      </c>
      <c r="B229" s="4">
        <f>IF($A229="","",CHOOSE(MONTH($A229),"Janeiro","Fevereiro","Março","Abril","Maio","Junho","Julho","Agosto","Setembro","Outubro","Novembro","Dezembro"))</f>
        <v/>
      </c>
      <c r="C229" s="4">
        <f>IF($A229="","",CHOOSE(WEEKDAY($A229),"Domingo","Segunda-feira","Terça-feira","Quarta-feira","Quinta-feira","Sexta-feira","Sábado"))</f>
        <v/>
      </c>
      <c r="D229" s="5" t="n">
        <v>1</v>
      </c>
      <c r="E229" s="6">
        <f>IFERROR(INDEX(Consolidado_Mensal!$B$2:$B$12,MATCH($B229,Consolidado_Mensal!$A$2:$A$12,0)),"")</f>
        <v/>
      </c>
      <c r="F229" s="7">
        <f>IF($E229="","",SUMIFS($D$2:$D229,$B$2:$B229,$B229)/$E229)</f>
        <v/>
      </c>
      <c r="G229" s="6">
        <f>IF($E229="","",MAX(0,$E229-SUMIFS($D$2:$D229,$B$2:$B229,$B229)))</f>
        <v/>
      </c>
      <c r="H229" s="5" t="n"/>
      <c r="I229" s="5" t="n">
        <v>1</v>
      </c>
      <c r="J229" s="5" t="n">
        <v>1</v>
      </c>
      <c r="K229" s="5" t="n"/>
      <c r="L229" s="5" t="n">
        <v>1</v>
      </c>
      <c r="M229" s="5" t="n"/>
      <c r="N229" s="5" t="n"/>
      <c r="O229" s="5" t="n"/>
      <c r="P229" s="5" t="n"/>
      <c r="Q229" s="5" t="n"/>
      <c r="R229" s="5" t="n"/>
      <c r="S229" s="5" t="n"/>
      <c r="T229" s="6">
        <f>IF($D229="","",IF(AND($D229=0,SUM($H229:$S229)=0),"OK",IF(SUM($H229:$S229)=0,"Sem detalhe",IF(AND(OR(SUM($H229:$I229)=$D229,SUM($H229:$I229)=0),OR(SUM($J229:$K229)=$D229,SUM($J229:$K229)=0),OR(SUM($L229:$S229)=$D229,SUM($L229:$S229)=0)),"OK","Verificar: "&amp;IF(AND(SUM($H229:$I229)&lt;&gt;$D229,SUM($H229:$I229)&lt;&gt;0),"perfil ","")&amp;IF(AND(SUM($J229:$K229)&lt;&gt;$D229,SUM($J229:$K229)&lt;&gt;0),"gênero ","")&amp;IF(AND(SUM($L229:$S229)&lt;&gt;$D229,SUM($L229:$S229)&lt;&gt;0),"professor","")))))</f>
        <v/>
      </c>
      <c r="U229" s="5" t="n"/>
    </row>
    <row r="230" ht="18" customHeight="1">
      <c r="A230" s="3" t="n">
        <v>46282</v>
      </c>
      <c r="B230" s="4">
        <f>IF($A230="","",CHOOSE(MONTH($A230),"Janeiro","Fevereiro","Março","Abril","Maio","Junho","Julho","Agosto","Setembro","Outubro","Novembro","Dezembro"))</f>
        <v/>
      </c>
      <c r="C230" s="4">
        <f>IF($A230="","",CHOOSE(WEEKDAY($A230),"Domingo","Segunda-feira","Terça-feira","Quarta-feira","Quinta-feira","Sexta-feira","Sábado"))</f>
        <v/>
      </c>
      <c r="D230" s="5" t="n"/>
      <c r="E230" s="6">
        <f>IFERROR(INDEX(Consolidado_Mensal!$B$2:$B$12,MATCH($B230,Consolidado_Mensal!$A$2:$A$12,0)),"")</f>
        <v/>
      </c>
      <c r="F230" s="7">
        <f>IF($E230="","",SUMIFS($D$2:$D230,$B$2:$B230,$B230)/$E230)</f>
        <v/>
      </c>
      <c r="G230" s="6">
        <f>IF($E230="","",MAX(0,$E230-SUMIFS($D$2:$D230,$B$2:$B230,$B230)))</f>
        <v/>
      </c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6">
        <f>IF($D230="","",IF(AND($D230=0,SUM($H230:$S230)=0),"OK",IF(SUM($H230:$S230)=0,"Sem detalhe",IF(AND(OR(SUM($H230:$I230)=$D230,SUM($H230:$I230)=0),OR(SUM($J230:$K230)=$D230,SUM($J230:$K230)=0),OR(SUM($L230:$S230)=$D230,SUM($L230:$S230)=0)),"OK","Verificar: "&amp;IF(AND(SUM($H230:$I230)&lt;&gt;$D230,SUM($H230:$I230)&lt;&gt;0),"perfil ","")&amp;IF(AND(SUM($J230:$K230)&lt;&gt;$D230,SUM($J230:$K230)&lt;&gt;0),"gênero ","")&amp;IF(AND(SUM($L230:$S230)&lt;&gt;$D230,SUM($L230:$S230)&lt;&gt;0),"professor","")))))</f>
        <v/>
      </c>
      <c r="U230" s="5" t="n"/>
    </row>
    <row r="231" ht="18" customHeight="1">
      <c r="A231" s="3" t="n">
        <v>46283</v>
      </c>
      <c r="B231" s="4">
        <f>IF($A231="","",CHOOSE(MONTH($A231),"Janeiro","Fevereiro","Março","Abril","Maio","Junho","Julho","Agosto","Setembro","Outubro","Novembro","Dezembro"))</f>
        <v/>
      </c>
      <c r="C231" s="4">
        <f>IF($A231="","",CHOOSE(WEEKDAY($A231),"Domingo","Segunda-feira","Terça-feira","Quarta-feira","Quinta-feira","Sexta-feira","Sábado"))</f>
        <v/>
      </c>
      <c r="D231" s="5" t="n"/>
      <c r="E231" s="6">
        <f>IFERROR(INDEX(Consolidado_Mensal!$B$2:$B$12,MATCH($B231,Consolidado_Mensal!$A$2:$A$12,0)),"")</f>
        <v/>
      </c>
      <c r="F231" s="7">
        <f>IF($E231="","",SUMIFS($D$2:$D231,$B$2:$B231,$B231)/$E231)</f>
        <v/>
      </c>
      <c r="G231" s="6">
        <f>IF($E231="","",MAX(0,$E231-SUMIFS($D$2:$D231,$B$2:$B231,$B231)))</f>
        <v/>
      </c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6">
        <f>IF($D231="","",IF(AND($D231=0,SUM($H231:$S231)=0),"OK",IF(SUM($H231:$S231)=0,"Sem detalhe",IF(AND(OR(SUM($H231:$I231)=$D231,SUM($H231:$I231)=0),OR(SUM($J231:$K231)=$D231,SUM($J231:$K231)=0),OR(SUM($L231:$S231)=$D231,SUM($L231:$S231)=0)),"OK","Verificar: "&amp;IF(AND(SUM($H231:$I231)&lt;&gt;$D231,SUM($H231:$I231)&lt;&gt;0),"perfil ","")&amp;IF(AND(SUM($J231:$K231)&lt;&gt;$D231,SUM($J231:$K231)&lt;&gt;0),"gênero ","")&amp;IF(AND(SUM($L231:$S231)&lt;&gt;$D231,SUM($L231:$S231)&lt;&gt;0),"professor","")))))</f>
        <v/>
      </c>
      <c r="U231" s="5" t="n"/>
    </row>
    <row r="232" ht="18" customHeight="1">
      <c r="A232" s="3" t="n">
        <v>46284</v>
      </c>
      <c r="B232" s="4">
        <f>IF($A232="","",CHOOSE(MONTH($A232),"Janeiro","Fevereiro","Março","Abril","Maio","Junho","Julho","Agosto","Setembro","Outubro","Novembro","Dezembro"))</f>
        <v/>
      </c>
      <c r="C232" s="4">
        <f>IF($A232="","",CHOOSE(WEEKDAY($A232),"Domingo","Segunda-feira","Terça-feira","Quarta-feira","Quinta-feira","Sexta-feira","Sábado"))</f>
        <v/>
      </c>
      <c r="D232" s="5" t="n"/>
      <c r="E232" s="6">
        <f>IFERROR(INDEX(Consolidado_Mensal!$B$2:$B$12,MATCH($B232,Consolidado_Mensal!$A$2:$A$12,0)),"")</f>
        <v/>
      </c>
      <c r="F232" s="7">
        <f>IF($E232="","",SUMIFS($D$2:$D232,$B$2:$B232,$B232)/$E232)</f>
        <v/>
      </c>
      <c r="G232" s="6">
        <f>IF($E232="","",MAX(0,$E232-SUMIFS($D$2:$D232,$B$2:$B232,$B232)))</f>
        <v/>
      </c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6">
        <f>IF($D232="","",IF(AND($D232=0,SUM($H232:$S232)=0),"OK",IF(SUM($H232:$S232)=0,"Sem detalhe",IF(AND(OR(SUM($H232:$I232)=$D232,SUM($H232:$I232)=0),OR(SUM($J232:$K232)=$D232,SUM($J232:$K232)=0),OR(SUM($L232:$S232)=$D232,SUM($L232:$S232)=0)),"OK","Verificar: "&amp;IF(AND(SUM($H232:$I232)&lt;&gt;$D232,SUM($H232:$I232)&lt;&gt;0),"perfil ","")&amp;IF(AND(SUM($J232:$K232)&lt;&gt;$D232,SUM($J232:$K232)&lt;&gt;0),"gênero ","")&amp;IF(AND(SUM($L232:$S232)&lt;&gt;$D232,SUM($L232:$S232)&lt;&gt;0),"professor","")))))</f>
        <v/>
      </c>
      <c r="U232" s="5" t="n"/>
    </row>
    <row r="233" ht="18" customHeight="1">
      <c r="A233" s="3" t="n">
        <v>46285</v>
      </c>
      <c r="B233" s="4">
        <f>IF($A233="","",CHOOSE(MONTH($A233),"Janeiro","Fevereiro","Março","Abril","Maio","Junho","Julho","Agosto","Setembro","Outubro","Novembro","Dezembro"))</f>
        <v/>
      </c>
      <c r="C233" s="4">
        <f>IF($A233="","",CHOOSE(WEEKDAY($A233),"Domingo","Segunda-feira","Terça-feira","Quarta-feira","Quinta-feira","Sexta-feira","Sábado"))</f>
        <v/>
      </c>
      <c r="D233" s="5" t="n"/>
      <c r="E233" s="6">
        <f>IFERROR(INDEX(Consolidado_Mensal!$B$2:$B$12,MATCH($B233,Consolidado_Mensal!$A$2:$A$12,0)),"")</f>
        <v/>
      </c>
      <c r="F233" s="7">
        <f>IF($E233="","",SUMIFS($D$2:$D233,$B$2:$B233,$B233)/$E233)</f>
        <v/>
      </c>
      <c r="G233" s="6">
        <f>IF($E233="","",MAX(0,$E233-SUMIFS($D$2:$D233,$B$2:$B233,$B233)))</f>
        <v/>
      </c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6">
        <f>IF($D233="","",IF(AND($D233=0,SUM($H233:$S233)=0),"OK",IF(SUM($H233:$S233)=0,"Sem detalhe",IF(AND(OR(SUM($H233:$I233)=$D233,SUM($H233:$I233)=0),OR(SUM($J233:$K233)=$D233,SUM($J233:$K233)=0),OR(SUM($L233:$S233)=$D233,SUM($L233:$S233)=0)),"OK","Verificar: "&amp;IF(AND(SUM($H233:$I233)&lt;&gt;$D233,SUM($H233:$I233)&lt;&gt;0),"perfil ","")&amp;IF(AND(SUM($J233:$K233)&lt;&gt;$D233,SUM($J233:$K233)&lt;&gt;0),"gênero ","")&amp;IF(AND(SUM($L233:$S233)&lt;&gt;$D233,SUM($L233:$S233)&lt;&gt;0),"professor","")))))</f>
        <v/>
      </c>
      <c r="U233" s="5" t="n"/>
    </row>
    <row r="234" ht="18" customHeight="1">
      <c r="A234" s="3" t="n">
        <v>46286</v>
      </c>
      <c r="B234" s="4">
        <f>IF($A234="","",CHOOSE(MONTH($A234),"Janeiro","Fevereiro","Março","Abril","Maio","Junho","Julho","Agosto","Setembro","Outubro","Novembro","Dezembro"))</f>
        <v/>
      </c>
      <c r="C234" s="4">
        <f>IF($A234="","",CHOOSE(WEEKDAY($A234),"Domingo","Segunda-feira","Terça-feira","Quarta-feira","Quinta-feira","Sexta-feira","Sábado"))</f>
        <v/>
      </c>
      <c r="D234" s="5" t="n">
        <v>1</v>
      </c>
      <c r="E234" s="6">
        <f>IFERROR(INDEX(Consolidado_Mensal!$B$2:$B$12,MATCH($B234,Consolidado_Mensal!$A$2:$A$12,0)),"")</f>
        <v/>
      </c>
      <c r="F234" s="7">
        <f>IF($E234="","",SUMIFS($D$2:$D234,$B$2:$B234,$B234)/$E234)</f>
        <v/>
      </c>
      <c r="G234" s="6">
        <f>IF($E234="","",MAX(0,$E234-SUMIFS($D$2:$D234,$B$2:$B234,$B234)))</f>
        <v/>
      </c>
      <c r="H234" s="5" t="n">
        <v>1</v>
      </c>
      <c r="I234" s="5" t="n"/>
      <c r="J234" s="5" t="n">
        <v>1</v>
      </c>
      <c r="K234" s="5" t="n"/>
      <c r="L234" s="5" t="n"/>
      <c r="M234" s="5" t="n"/>
      <c r="N234" s="5" t="n">
        <v>1</v>
      </c>
      <c r="O234" s="5" t="n"/>
      <c r="P234" s="5" t="n"/>
      <c r="Q234" s="5" t="n"/>
      <c r="R234" s="5" t="n"/>
      <c r="S234" s="5" t="n"/>
      <c r="T234" s="6">
        <f>IF($D234="","",IF(AND($D234=0,SUM($H234:$S234)=0),"OK",IF(SUM($H234:$S234)=0,"Sem detalhe",IF(AND(OR(SUM($H234:$I234)=$D234,SUM($H234:$I234)=0),OR(SUM($J234:$K234)=$D234,SUM($J234:$K234)=0),OR(SUM($L234:$S234)=$D234,SUM($L234:$S234)=0)),"OK","Verificar: "&amp;IF(AND(SUM($H234:$I234)&lt;&gt;$D234,SUM($H234:$I234)&lt;&gt;0),"perfil ","")&amp;IF(AND(SUM($J234:$K234)&lt;&gt;$D234,SUM($J234:$K234)&lt;&gt;0),"gênero ","")&amp;IF(AND(SUM($L234:$S234)&lt;&gt;$D234,SUM($L234:$S234)&lt;&gt;0),"professor","")))))</f>
        <v/>
      </c>
      <c r="U234" s="5" t="n"/>
    </row>
    <row r="235" ht="18" customHeight="1">
      <c r="A235" s="3" t="n">
        <v>46287</v>
      </c>
      <c r="B235" s="4">
        <f>IF($A235="","",CHOOSE(MONTH($A235),"Janeiro","Fevereiro","Março","Abril","Maio","Junho","Julho","Agosto","Setembro","Outubro","Novembro","Dezembro"))</f>
        <v/>
      </c>
      <c r="C235" s="4">
        <f>IF($A235="","",CHOOSE(WEEKDAY($A235),"Domingo","Segunda-feira","Terça-feira","Quarta-feira","Quinta-feira","Sexta-feira","Sábado"))</f>
        <v/>
      </c>
      <c r="D235" s="5" t="n">
        <v>1</v>
      </c>
      <c r="E235" s="6">
        <f>IFERROR(INDEX(Consolidado_Mensal!$B$2:$B$12,MATCH($B235,Consolidado_Mensal!$A$2:$A$12,0)),"")</f>
        <v/>
      </c>
      <c r="F235" s="7">
        <f>IF($E235="","",SUMIFS($D$2:$D235,$B$2:$B235,$B235)/$E235)</f>
        <v/>
      </c>
      <c r="G235" s="6">
        <f>IF($E235="","",MAX(0,$E235-SUMIFS($D$2:$D235,$B$2:$B235,$B235)))</f>
        <v/>
      </c>
      <c r="H235" s="5" t="n">
        <v>1</v>
      </c>
      <c r="I235" s="5" t="n"/>
      <c r="J235" s="5" t="n"/>
      <c r="K235" s="5" t="n">
        <v>1</v>
      </c>
      <c r="L235" s="5" t="n"/>
      <c r="M235" s="5" t="n"/>
      <c r="N235" s="5" t="n"/>
      <c r="O235" s="5" t="n">
        <v>1</v>
      </c>
      <c r="P235" s="5" t="n"/>
      <c r="Q235" s="5" t="n"/>
      <c r="R235" s="5" t="n"/>
      <c r="S235" s="5" t="n"/>
      <c r="T235" s="6">
        <f>IF($D235="","",IF(AND($D235=0,SUM($H235:$S235)=0),"OK",IF(SUM($H235:$S235)=0,"Sem detalhe",IF(AND(OR(SUM($H235:$I235)=$D235,SUM($H235:$I235)=0),OR(SUM($J235:$K235)=$D235,SUM($J235:$K235)=0),OR(SUM($L235:$S235)=$D235,SUM($L235:$S235)=0)),"OK","Verificar: "&amp;IF(AND(SUM($H235:$I235)&lt;&gt;$D235,SUM($H235:$I235)&lt;&gt;0),"perfil ","")&amp;IF(AND(SUM($J235:$K235)&lt;&gt;$D235,SUM($J235:$K235)&lt;&gt;0),"gênero ","")&amp;IF(AND(SUM($L235:$S235)&lt;&gt;$D235,SUM($L235:$S235)&lt;&gt;0),"professor","")))))</f>
        <v/>
      </c>
      <c r="U235" s="5" t="n"/>
    </row>
    <row r="236" ht="18" customHeight="1">
      <c r="A236" s="3" t="n">
        <v>46288</v>
      </c>
      <c r="B236" s="4">
        <f>IF($A236="","",CHOOSE(MONTH($A236),"Janeiro","Fevereiro","Março","Abril","Maio","Junho","Julho","Agosto","Setembro","Outubro","Novembro","Dezembro"))</f>
        <v/>
      </c>
      <c r="C236" s="4">
        <f>IF($A236="","",CHOOSE(WEEKDAY($A236),"Domingo","Segunda-feira","Terça-feira","Quarta-feira","Quinta-feira","Sexta-feira","Sábado"))</f>
        <v/>
      </c>
      <c r="D236" s="5" t="n"/>
      <c r="E236" s="6">
        <f>IFERROR(INDEX(Consolidado_Mensal!$B$2:$B$12,MATCH($B236,Consolidado_Mensal!$A$2:$A$12,0)),"")</f>
        <v/>
      </c>
      <c r="F236" s="7">
        <f>IF($E236="","",SUMIFS($D$2:$D236,$B$2:$B236,$B236)/$E236)</f>
        <v/>
      </c>
      <c r="G236" s="6">
        <f>IF($E236="","",MAX(0,$E236-SUMIFS($D$2:$D236,$B$2:$B236,$B236)))</f>
        <v/>
      </c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6">
        <f>IF($D236="","",IF(AND($D236=0,SUM($H236:$S236)=0),"OK",IF(SUM($H236:$S236)=0,"Sem detalhe",IF(AND(OR(SUM($H236:$I236)=$D236,SUM($H236:$I236)=0),OR(SUM($J236:$K236)=$D236,SUM($J236:$K236)=0),OR(SUM($L236:$S236)=$D236,SUM($L236:$S236)=0)),"OK","Verificar: "&amp;IF(AND(SUM($H236:$I236)&lt;&gt;$D236,SUM($H236:$I236)&lt;&gt;0),"perfil ","")&amp;IF(AND(SUM($J236:$K236)&lt;&gt;$D236,SUM($J236:$K236)&lt;&gt;0),"gênero ","")&amp;IF(AND(SUM($L236:$S236)&lt;&gt;$D236,SUM($L236:$S236)&lt;&gt;0),"professor","")))))</f>
        <v/>
      </c>
      <c r="U236" s="5" t="n"/>
    </row>
    <row r="237" ht="18" customHeight="1">
      <c r="A237" s="3" t="n">
        <v>46289</v>
      </c>
      <c r="B237" s="4">
        <f>IF($A237="","",CHOOSE(MONTH($A237),"Janeiro","Fevereiro","Março","Abril","Maio","Junho","Julho","Agosto","Setembro","Outubro","Novembro","Dezembro"))</f>
        <v/>
      </c>
      <c r="C237" s="4">
        <f>IF($A237="","",CHOOSE(WEEKDAY($A237),"Domingo","Segunda-feira","Terça-feira","Quarta-feira","Quinta-feira","Sexta-feira","Sábado"))</f>
        <v/>
      </c>
      <c r="D237" s="5" t="n"/>
      <c r="E237" s="6">
        <f>IFERROR(INDEX(Consolidado_Mensal!$B$2:$B$12,MATCH($B237,Consolidado_Mensal!$A$2:$A$12,0)),"")</f>
        <v/>
      </c>
      <c r="F237" s="7">
        <f>IF($E237="","",SUMIFS($D$2:$D237,$B$2:$B237,$B237)/$E237)</f>
        <v/>
      </c>
      <c r="G237" s="6">
        <f>IF($E237="","",MAX(0,$E237-SUMIFS($D$2:$D237,$B$2:$B237,$B237)))</f>
        <v/>
      </c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6">
        <f>IF($D237="","",IF(AND($D237=0,SUM($H237:$S237)=0),"OK",IF(SUM($H237:$S237)=0,"Sem detalhe",IF(AND(OR(SUM($H237:$I237)=$D237,SUM($H237:$I237)=0),OR(SUM($J237:$K237)=$D237,SUM($J237:$K237)=0),OR(SUM($L237:$S237)=$D237,SUM($L237:$S237)=0)),"OK","Verificar: "&amp;IF(AND(SUM($H237:$I237)&lt;&gt;$D237,SUM($H237:$I237)&lt;&gt;0),"perfil ","")&amp;IF(AND(SUM($J237:$K237)&lt;&gt;$D237,SUM($J237:$K237)&lt;&gt;0),"gênero ","")&amp;IF(AND(SUM($L237:$S237)&lt;&gt;$D237,SUM($L237:$S237)&lt;&gt;0),"professor","")))))</f>
        <v/>
      </c>
      <c r="U237" s="5" t="n"/>
    </row>
    <row r="238" ht="18" customHeight="1">
      <c r="A238" s="3" t="n">
        <v>46290</v>
      </c>
      <c r="B238" s="4">
        <f>IF($A238="","",CHOOSE(MONTH($A238),"Janeiro","Fevereiro","Março","Abril","Maio","Junho","Julho","Agosto","Setembro","Outubro","Novembro","Dezembro"))</f>
        <v/>
      </c>
      <c r="C238" s="4">
        <f>IF($A238="","",CHOOSE(WEEKDAY($A238),"Domingo","Segunda-feira","Terça-feira","Quarta-feira","Quinta-feira","Sexta-feira","Sábado"))</f>
        <v/>
      </c>
      <c r="D238" s="5" t="n"/>
      <c r="E238" s="6">
        <f>IFERROR(INDEX(Consolidado_Mensal!$B$2:$B$12,MATCH($B238,Consolidado_Mensal!$A$2:$A$12,0)),"")</f>
        <v/>
      </c>
      <c r="F238" s="7">
        <f>IF($E238="","",SUMIFS($D$2:$D238,$B$2:$B238,$B238)/$E238)</f>
        <v/>
      </c>
      <c r="G238" s="6">
        <f>IF($E238="","",MAX(0,$E238-SUMIFS($D$2:$D238,$B$2:$B238,$B238)))</f>
        <v/>
      </c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6">
        <f>IF($D238="","",IF(AND($D238=0,SUM($H238:$S238)=0),"OK",IF(SUM($H238:$S238)=0,"Sem detalhe",IF(AND(OR(SUM($H238:$I238)=$D238,SUM($H238:$I238)=0),OR(SUM($J238:$K238)=$D238,SUM($J238:$K238)=0),OR(SUM($L238:$S238)=$D238,SUM($L238:$S238)=0)),"OK","Verificar: "&amp;IF(AND(SUM($H238:$I238)&lt;&gt;$D238,SUM($H238:$I238)&lt;&gt;0),"perfil ","")&amp;IF(AND(SUM($J238:$K238)&lt;&gt;$D238,SUM($J238:$K238)&lt;&gt;0),"gênero ","")&amp;IF(AND(SUM($L238:$S238)&lt;&gt;$D238,SUM($L238:$S238)&lt;&gt;0),"professor","")))))</f>
        <v/>
      </c>
      <c r="U238" s="5" t="n"/>
    </row>
    <row r="239" ht="18" customHeight="1">
      <c r="A239" s="3" t="n">
        <v>46291</v>
      </c>
      <c r="B239" s="4">
        <f>IF($A239="","",CHOOSE(MONTH($A239),"Janeiro","Fevereiro","Março","Abril","Maio","Junho","Julho","Agosto","Setembro","Outubro","Novembro","Dezembro"))</f>
        <v/>
      </c>
      <c r="C239" s="4">
        <f>IF($A239="","",CHOOSE(WEEKDAY($A239),"Domingo","Segunda-feira","Terça-feira","Quarta-feira","Quinta-feira","Sexta-feira","Sábado"))</f>
        <v/>
      </c>
      <c r="D239" s="5" t="n"/>
      <c r="E239" s="6">
        <f>IFERROR(INDEX(Consolidado_Mensal!$B$2:$B$12,MATCH($B239,Consolidado_Mensal!$A$2:$A$12,0)),"")</f>
        <v/>
      </c>
      <c r="F239" s="7">
        <f>IF($E239="","",SUMIFS($D$2:$D239,$B$2:$B239,$B239)/$E239)</f>
        <v/>
      </c>
      <c r="G239" s="6">
        <f>IF($E239="","",MAX(0,$E239-SUMIFS($D$2:$D239,$B$2:$B239,$B239)))</f>
        <v/>
      </c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6">
        <f>IF($D239="","",IF(AND($D239=0,SUM($H239:$S239)=0),"OK",IF(SUM($H239:$S239)=0,"Sem detalhe",IF(AND(OR(SUM($H239:$I239)=$D239,SUM($H239:$I239)=0),OR(SUM($J239:$K239)=$D239,SUM($J239:$K239)=0),OR(SUM($L239:$S239)=$D239,SUM($L239:$S239)=0)),"OK","Verificar: "&amp;IF(AND(SUM($H239:$I239)&lt;&gt;$D239,SUM($H239:$I239)&lt;&gt;0),"perfil ","")&amp;IF(AND(SUM($J239:$K239)&lt;&gt;$D239,SUM($J239:$K239)&lt;&gt;0),"gênero ","")&amp;IF(AND(SUM($L239:$S239)&lt;&gt;$D239,SUM($L239:$S239)&lt;&gt;0),"professor","")))))</f>
        <v/>
      </c>
      <c r="U239" s="5" t="n"/>
    </row>
    <row r="240" ht="18" customHeight="1">
      <c r="A240" s="3" t="n">
        <v>46292</v>
      </c>
      <c r="B240" s="4">
        <f>IF($A240="","",CHOOSE(MONTH($A240),"Janeiro","Fevereiro","Março","Abril","Maio","Junho","Julho","Agosto","Setembro","Outubro","Novembro","Dezembro"))</f>
        <v/>
      </c>
      <c r="C240" s="4">
        <f>IF($A240="","",CHOOSE(WEEKDAY($A240),"Domingo","Segunda-feira","Terça-feira","Quarta-feira","Quinta-feira","Sexta-feira","Sábado"))</f>
        <v/>
      </c>
      <c r="D240" s="5" t="n"/>
      <c r="E240" s="6">
        <f>IFERROR(INDEX(Consolidado_Mensal!$B$2:$B$12,MATCH($B240,Consolidado_Mensal!$A$2:$A$12,0)),"")</f>
        <v/>
      </c>
      <c r="F240" s="7">
        <f>IF($E240="","",SUMIFS($D$2:$D240,$B$2:$B240,$B240)/$E240)</f>
        <v/>
      </c>
      <c r="G240" s="6">
        <f>IF($E240="","",MAX(0,$E240-SUMIFS($D$2:$D240,$B$2:$B240,$B240)))</f>
        <v/>
      </c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6">
        <f>IF($D240="","",IF(AND($D240=0,SUM($H240:$S240)=0),"OK",IF(SUM($H240:$S240)=0,"Sem detalhe",IF(AND(OR(SUM($H240:$I240)=$D240,SUM($H240:$I240)=0),OR(SUM($J240:$K240)=$D240,SUM($J240:$K240)=0),OR(SUM($L240:$S240)=$D240,SUM($L240:$S240)=0)),"OK","Verificar: "&amp;IF(AND(SUM($H240:$I240)&lt;&gt;$D240,SUM($H240:$I240)&lt;&gt;0),"perfil ","")&amp;IF(AND(SUM($J240:$K240)&lt;&gt;$D240,SUM($J240:$K240)&lt;&gt;0),"gênero ","")&amp;IF(AND(SUM($L240:$S240)&lt;&gt;$D240,SUM($L240:$S240)&lt;&gt;0),"professor","")))))</f>
        <v/>
      </c>
      <c r="U240" s="5" t="n"/>
    </row>
    <row r="241" ht="18" customHeight="1">
      <c r="A241" s="3" t="n">
        <v>46293</v>
      </c>
      <c r="B241" s="4">
        <f>IF($A241="","",CHOOSE(MONTH($A241),"Janeiro","Fevereiro","Março","Abril","Maio","Junho","Julho","Agosto","Setembro","Outubro","Novembro","Dezembro"))</f>
        <v/>
      </c>
      <c r="C241" s="4">
        <f>IF($A241="","",CHOOSE(WEEKDAY($A241),"Domingo","Segunda-feira","Terça-feira","Quarta-feira","Quinta-feira","Sexta-feira","Sábado"))</f>
        <v/>
      </c>
      <c r="D241" s="5" t="n"/>
      <c r="E241" s="6">
        <f>IFERROR(INDEX(Consolidado_Mensal!$B$2:$B$12,MATCH($B241,Consolidado_Mensal!$A$2:$A$12,0)),"")</f>
        <v/>
      </c>
      <c r="F241" s="7">
        <f>IF($E241="","",SUMIFS($D$2:$D241,$B$2:$B241,$B241)/$E241)</f>
        <v/>
      </c>
      <c r="G241" s="6">
        <f>IF($E241="","",MAX(0,$E241-SUMIFS($D$2:$D241,$B$2:$B241,$B241)))</f>
        <v/>
      </c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6">
        <f>IF($D241="","",IF(AND($D241=0,SUM($H241:$S241)=0),"OK",IF(SUM($H241:$S241)=0,"Sem detalhe",IF(AND(OR(SUM($H241:$I241)=$D241,SUM($H241:$I241)=0),OR(SUM($J241:$K241)=$D241,SUM($J241:$K241)=0),OR(SUM($L241:$S241)=$D241,SUM($L241:$S241)=0)),"OK","Verificar: "&amp;IF(AND(SUM($H241:$I241)&lt;&gt;$D241,SUM($H241:$I241)&lt;&gt;0),"perfil ","")&amp;IF(AND(SUM($J241:$K241)&lt;&gt;$D241,SUM($J241:$K241)&lt;&gt;0),"gênero ","")&amp;IF(AND(SUM($L241:$S241)&lt;&gt;$D241,SUM($L241:$S241)&lt;&gt;0),"professor","")))))</f>
        <v/>
      </c>
      <c r="U241" s="5" t="n"/>
    </row>
    <row r="242" ht="18" customHeight="1">
      <c r="A242" s="3" t="n">
        <v>46294</v>
      </c>
      <c r="B242" s="4">
        <f>IF($A242="","",CHOOSE(MONTH($A242),"Janeiro","Fevereiro","Março","Abril","Maio","Junho","Julho","Agosto","Setembro","Outubro","Novembro","Dezembro"))</f>
        <v/>
      </c>
      <c r="C242" s="4">
        <f>IF($A242="","",CHOOSE(WEEKDAY($A242),"Domingo","Segunda-feira","Terça-feira","Quarta-feira","Quinta-feira","Sexta-feira","Sábado"))</f>
        <v/>
      </c>
      <c r="D242" s="5" t="n"/>
      <c r="E242" s="6">
        <f>IFERROR(INDEX(Consolidado_Mensal!$B$2:$B$12,MATCH($B242,Consolidado_Mensal!$A$2:$A$12,0)),"")</f>
        <v/>
      </c>
      <c r="F242" s="7">
        <f>IF($E242="","",SUMIFS($D$2:$D242,$B$2:$B242,$B242)/$E242)</f>
        <v/>
      </c>
      <c r="G242" s="6">
        <f>IF($E242="","",MAX(0,$E242-SUMIFS($D$2:$D242,$B$2:$B242,$B242)))</f>
        <v/>
      </c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6">
        <f>IF($D242="","",IF(AND($D242=0,SUM($H242:$S242)=0),"OK",IF(SUM($H242:$S242)=0,"Sem detalhe",IF(AND(OR(SUM($H242:$I242)=$D242,SUM($H242:$I242)=0),OR(SUM($J242:$K242)=$D242,SUM($J242:$K242)=0),OR(SUM($L242:$S242)=$D242,SUM($L242:$S242)=0)),"OK","Verificar: "&amp;IF(AND(SUM($H242:$I242)&lt;&gt;$D242,SUM($H242:$I242)&lt;&gt;0),"perfil ","")&amp;IF(AND(SUM($J242:$K242)&lt;&gt;$D242,SUM($J242:$K242)&lt;&gt;0),"gênero ","")&amp;IF(AND(SUM($L242:$S242)&lt;&gt;$D242,SUM($L242:$S242)&lt;&gt;0),"professor","")))))</f>
        <v/>
      </c>
      <c r="U242" s="5" t="n"/>
    </row>
    <row r="243" ht="18" customHeight="1">
      <c r="A243" s="3" t="n">
        <v>46295</v>
      </c>
      <c r="B243" s="4">
        <f>IF($A243="","",CHOOSE(MONTH($A243),"Janeiro","Fevereiro","Março","Abril","Maio","Junho","Julho","Agosto","Setembro","Outubro","Novembro","Dezembro"))</f>
        <v/>
      </c>
      <c r="C243" s="4">
        <f>IF($A243="","",CHOOSE(WEEKDAY($A243),"Domingo","Segunda-feira","Terça-feira","Quarta-feira","Quinta-feira","Sexta-feira","Sábado"))</f>
        <v/>
      </c>
      <c r="D243" s="5" t="n"/>
      <c r="E243" s="6">
        <f>IFERROR(INDEX(Consolidado_Mensal!$B$2:$B$12,MATCH($B243,Consolidado_Mensal!$A$2:$A$12,0)),"")</f>
        <v/>
      </c>
      <c r="F243" s="7">
        <f>IF($E243="","",SUMIFS($D$2:$D243,$B$2:$B243,$B243)/$E243)</f>
        <v/>
      </c>
      <c r="G243" s="6">
        <f>IF($E243="","",MAX(0,$E243-SUMIFS($D$2:$D243,$B$2:$B243,$B243)))</f>
        <v/>
      </c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6">
        <f>IF($D243="","",IF(AND($D243=0,SUM($H243:$S243)=0),"OK",IF(SUM($H243:$S243)=0,"Sem detalhe",IF(AND(OR(SUM($H243:$I243)=$D243,SUM($H243:$I243)=0),OR(SUM($J243:$K243)=$D243,SUM($J243:$K243)=0),OR(SUM($L243:$S243)=$D243,SUM($L243:$S243)=0)),"OK","Verificar: "&amp;IF(AND(SUM($H243:$I243)&lt;&gt;$D243,SUM($H243:$I243)&lt;&gt;0),"perfil ","")&amp;IF(AND(SUM($J243:$K243)&lt;&gt;$D243,SUM($J243:$K243)&lt;&gt;0),"gênero ","")&amp;IF(AND(SUM($L243:$S243)&lt;&gt;$D243,SUM($L243:$S243)&lt;&gt;0),"professor","")))))</f>
        <v/>
      </c>
      <c r="U243" s="5" t="n"/>
    </row>
    <row r="244" ht="18" customHeight="1">
      <c r="A244" s="3" t="n">
        <v>46296</v>
      </c>
      <c r="B244" s="4">
        <f>IF($A244="","",CHOOSE(MONTH($A244),"Janeiro","Fevereiro","Março","Abril","Maio","Junho","Julho","Agosto","Setembro","Outubro","Novembro","Dezembro"))</f>
        <v/>
      </c>
      <c r="C244" s="4">
        <f>IF($A244="","",CHOOSE(WEEKDAY($A244),"Domingo","Segunda-feira","Terça-feira","Quarta-feira","Quinta-feira","Sexta-feira","Sábado"))</f>
        <v/>
      </c>
      <c r="D244" s="5" t="n"/>
      <c r="E244" s="6">
        <f>IFERROR(INDEX(Consolidado_Mensal!$B$2:$B$12,MATCH($B244,Consolidado_Mensal!$A$2:$A$12,0)),"")</f>
        <v/>
      </c>
      <c r="F244" s="7">
        <f>IF($E244="","",SUMIFS($D$2:$D244,$B$2:$B244,$B244)/$E244)</f>
        <v/>
      </c>
      <c r="G244" s="6">
        <f>IF($E244="","",MAX(0,$E244-SUMIFS($D$2:$D244,$B$2:$B244,$B244)))</f>
        <v/>
      </c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6">
        <f>IF($D244="","",IF(AND($D244=0,SUM($H244:$S244)=0),"OK",IF(SUM($H244:$S244)=0,"Sem detalhe",IF(AND(OR(SUM($H244:$I244)=$D244,SUM($H244:$I244)=0),OR(SUM($J244:$K244)=$D244,SUM($J244:$K244)=0),OR(SUM($L244:$S244)=$D244,SUM($L244:$S244)=0)),"OK","Verificar: "&amp;IF(AND(SUM($H244:$I244)&lt;&gt;$D244,SUM($H244:$I244)&lt;&gt;0),"perfil ","")&amp;IF(AND(SUM($J244:$K244)&lt;&gt;$D244,SUM($J244:$K244)&lt;&gt;0),"gênero ","")&amp;IF(AND(SUM($L244:$S244)&lt;&gt;$D244,SUM($L244:$S244)&lt;&gt;0),"professor","")))))</f>
        <v/>
      </c>
      <c r="U244" s="5" t="n"/>
    </row>
    <row r="245" ht="18" customHeight="1">
      <c r="A245" s="3" t="n">
        <v>46297</v>
      </c>
      <c r="B245" s="4">
        <f>IF($A245="","",CHOOSE(MONTH($A245),"Janeiro","Fevereiro","Março","Abril","Maio","Junho","Julho","Agosto","Setembro","Outubro","Novembro","Dezembro"))</f>
        <v/>
      </c>
      <c r="C245" s="4">
        <f>IF($A245="","",CHOOSE(WEEKDAY($A245),"Domingo","Segunda-feira","Terça-feira","Quarta-feira","Quinta-feira","Sexta-feira","Sábado"))</f>
        <v/>
      </c>
      <c r="D245" s="5" t="n"/>
      <c r="E245" s="6">
        <f>IFERROR(INDEX(Consolidado_Mensal!$B$2:$B$12,MATCH($B245,Consolidado_Mensal!$A$2:$A$12,0)),"")</f>
        <v/>
      </c>
      <c r="F245" s="7">
        <f>IF($E245="","",SUMIFS($D$2:$D245,$B$2:$B245,$B245)/$E245)</f>
        <v/>
      </c>
      <c r="G245" s="6">
        <f>IF($E245="","",MAX(0,$E245-SUMIFS($D$2:$D245,$B$2:$B245,$B245)))</f>
        <v/>
      </c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6">
        <f>IF($D245="","",IF(AND($D245=0,SUM($H245:$S245)=0),"OK",IF(SUM($H245:$S245)=0,"Sem detalhe",IF(AND(OR(SUM($H245:$I245)=$D245,SUM($H245:$I245)=0),OR(SUM($J245:$K245)=$D245,SUM($J245:$K245)=0),OR(SUM($L245:$S245)=$D245,SUM($L245:$S245)=0)),"OK","Verificar: "&amp;IF(AND(SUM($H245:$I245)&lt;&gt;$D245,SUM($H245:$I245)&lt;&gt;0),"perfil ","")&amp;IF(AND(SUM($J245:$K245)&lt;&gt;$D245,SUM($J245:$K245)&lt;&gt;0),"gênero ","")&amp;IF(AND(SUM($L245:$S245)&lt;&gt;$D245,SUM($L245:$S245)&lt;&gt;0),"professor","")))))</f>
        <v/>
      </c>
      <c r="U245" s="5" t="n"/>
    </row>
    <row r="246" ht="18" customHeight="1">
      <c r="A246" s="3" t="n">
        <v>46298</v>
      </c>
      <c r="B246" s="4">
        <f>IF($A246="","",CHOOSE(MONTH($A246),"Janeiro","Fevereiro","Março","Abril","Maio","Junho","Julho","Agosto","Setembro","Outubro","Novembro","Dezembro"))</f>
        <v/>
      </c>
      <c r="C246" s="4">
        <f>IF($A246="","",CHOOSE(WEEKDAY($A246),"Domingo","Segunda-feira","Terça-feira","Quarta-feira","Quinta-feira","Sexta-feira","Sábado"))</f>
        <v/>
      </c>
      <c r="D246" s="5" t="n"/>
      <c r="E246" s="6">
        <f>IFERROR(INDEX(Consolidado_Mensal!$B$2:$B$12,MATCH($B246,Consolidado_Mensal!$A$2:$A$12,0)),"")</f>
        <v/>
      </c>
      <c r="F246" s="7">
        <f>IF($E246="","",SUMIFS($D$2:$D246,$B$2:$B246,$B246)/$E246)</f>
        <v/>
      </c>
      <c r="G246" s="6">
        <f>IF($E246="","",MAX(0,$E246-SUMIFS($D$2:$D246,$B$2:$B246,$B246)))</f>
        <v/>
      </c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6">
        <f>IF($D246="","",IF(AND($D246=0,SUM($H246:$S246)=0),"OK",IF(SUM($H246:$S246)=0,"Sem detalhe",IF(AND(OR(SUM($H246:$I246)=$D246,SUM($H246:$I246)=0),OR(SUM($J246:$K246)=$D246,SUM($J246:$K246)=0),OR(SUM($L246:$S246)=$D246,SUM($L246:$S246)=0)),"OK","Verificar: "&amp;IF(AND(SUM($H246:$I246)&lt;&gt;$D246,SUM($H246:$I246)&lt;&gt;0),"perfil ","")&amp;IF(AND(SUM($J246:$K246)&lt;&gt;$D246,SUM($J246:$K246)&lt;&gt;0),"gênero ","")&amp;IF(AND(SUM($L246:$S246)&lt;&gt;$D246,SUM($L246:$S246)&lt;&gt;0),"professor","")))))</f>
        <v/>
      </c>
      <c r="U246" s="5" t="n"/>
    </row>
    <row r="247" ht="18" customHeight="1">
      <c r="A247" s="3" t="n">
        <v>46299</v>
      </c>
      <c r="B247" s="4">
        <f>IF($A247="","",CHOOSE(MONTH($A247),"Janeiro","Fevereiro","Março","Abril","Maio","Junho","Julho","Agosto","Setembro","Outubro","Novembro","Dezembro"))</f>
        <v/>
      </c>
      <c r="C247" s="4">
        <f>IF($A247="","",CHOOSE(WEEKDAY($A247),"Domingo","Segunda-feira","Terça-feira","Quarta-feira","Quinta-feira","Sexta-feira","Sábado"))</f>
        <v/>
      </c>
      <c r="D247" s="5" t="n"/>
      <c r="E247" s="6">
        <f>IFERROR(INDEX(Consolidado_Mensal!$B$2:$B$12,MATCH($B247,Consolidado_Mensal!$A$2:$A$12,0)),"")</f>
        <v/>
      </c>
      <c r="F247" s="7">
        <f>IF($E247="","",SUMIFS($D$2:$D247,$B$2:$B247,$B247)/$E247)</f>
        <v/>
      </c>
      <c r="G247" s="6">
        <f>IF($E247="","",MAX(0,$E247-SUMIFS($D$2:$D247,$B$2:$B247,$B247)))</f>
        <v/>
      </c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6">
        <f>IF($D247="","",IF(AND($D247=0,SUM($H247:$S247)=0),"OK",IF(SUM($H247:$S247)=0,"Sem detalhe",IF(AND(OR(SUM($H247:$I247)=$D247,SUM($H247:$I247)=0),OR(SUM($J247:$K247)=$D247,SUM($J247:$K247)=0),OR(SUM($L247:$S247)=$D247,SUM($L247:$S247)=0)),"OK","Verificar: "&amp;IF(AND(SUM($H247:$I247)&lt;&gt;$D247,SUM($H247:$I247)&lt;&gt;0),"perfil ","")&amp;IF(AND(SUM($J247:$K247)&lt;&gt;$D247,SUM($J247:$K247)&lt;&gt;0),"gênero ","")&amp;IF(AND(SUM($L247:$S247)&lt;&gt;$D247,SUM($L247:$S247)&lt;&gt;0),"professor","")))))</f>
        <v/>
      </c>
      <c r="U247" s="5" t="n"/>
    </row>
    <row r="248" ht="18" customHeight="1">
      <c r="A248" s="3" t="n">
        <v>46300</v>
      </c>
      <c r="B248" s="4">
        <f>IF($A248="","",CHOOSE(MONTH($A248),"Janeiro","Fevereiro","Março","Abril","Maio","Junho","Julho","Agosto","Setembro","Outubro","Novembro","Dezembro"))</f>
        <v/>
      </c>
      <c r="C248" s="4">
        <f>IF($A248="","",CHOOSE(WEEKDAY($A248),"Domingo","Segunda-feira","Terça-feira","Quarta-feira","Quinta-feira","Sexta-feira","Sábado"))</f>
        <v/>
      </c>
      <c r="D248" s="5" t="n"/>
      <c r="E248" s="6">
        <f>IFERROR(INDEX(Consolidado_Mensal!$B$2:$B$12,MATCH($B248,Consolidado_Mensal!$A$2:$A$12,0)),"")</f>
        <v/>
      </c>
      <c r="F248" s="7">
        <f>IF($E248="","",SUMIFS($D$2:$D248,$B$2:$B248,$B248)/$E248)</f>
        <v/>
      </c>
      <c r="G248" s="6">
        <f>IF($E248="","",MAX(0,$E248-SUMIFS($D$2:$D248,$B$2:$B248,$B248)))</f>
        <v/>
      </c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6">
        <f>IF($D248="","",IF(AND($D248=0,SUM($H248:$S248)=0),"OK",IF(SUM($H248:$S248)=0,"Sem detalhe",IF(AND(OR(SUM($H248:$I248)=$D248,SUM($H248:$I248)=0),OR(SUM($J248:$K248)=$D248,SUM($J248:$K248)=0),OR(SUM($L248:$S248)=$D248,SUM($L248:$S248)=0)),"OK","Verificar: "&amp;IF(AND(SUM($H248:$I248)&lt;&gt;$D248,SUM($H248:$I248)&lt;&gt;0),"perfil ","")&amp;IF(AND(SUM($J248:$K248)&lt;&gt;$D248,SUM($J248:$K248)&lt;&gt;0),"gênero ","")&amp;IF(AND(SUM($L248:$S248)&lt;&gt;$D248,SUM($L248:$S248)&lt;&gt;0),"professor","")))))</f>
        <v/>
      </c>
      <c r="U248" s="5" t="n"/>
    </row>
    <row r="249" ht="18" customHeight="1">
      <c r="A249" s="3" t="n">
        <v>46301</v>
      </c>
      <c r="B249" s="4">
        <f>IF($A249="","",CHOOSE(MONTH($A249),"Janeiro","Fevereiro","Março","Abril","Maio","Junho","Julho","Agosto","Setembro","Outubro","Novembro","Dezembro"))</f>
        <v/>
      </c>
      <c r="C249" s="4">
        <f>IF($A249="","",CHOOSE(WEEKDAY($A249),"Domingo","Segunda-feira","Terça-feira","Quarta-feira","Quinta-feira","Sexta-feira","Sábado"))</f>
        <v/>
      </c>
      <c r="D249" s="5" t="n"/>
      <c r="E249" s="6">
        <f>IFERROR(INDEX(Consolidado_Mensal!$B$2:$B$12,MATCH($B249,Consolidado_Mensal!$A$2:$A$12,0)),"")</f>
        <v/>
      </c>
      <c r="F249" s="7">
        <f>IF($E249="","",SUMIFS($D$2:$D249,$B$2:$B249,$B249)/$E249)</f>
        <v/>
      </c>
      <c r="G249" s="6">
        <f>IF($E249="","",MAX(0,$E249-SUMIFS($D$2:$D249,$B$2:$B249,$B249)))</f>
        <v/>
      </c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6">
        <f>IF($D249="","",IF(AND($D249=0,SUM($H249:$S249)=0),"OK",IF(SUM($H249:$S249)=0,"Sem detalhe",IF(AND(OR(SUM($H249:$I249)=$D249,SUM($H249:$I249)=0),OR(SUM($J249:$K249)=$D249,SUM($J249:$K249)=0),OR(SUM($L249:$S249)=$D249,SUM($L249:$S249)=0)),"OK","Verificar: "&amp;IF(AND(SUM($H249:$I249)&lt;&gt;$D249,SUM($H249:$I249)&lt;&gt;0),"perfil ","")&amp;IF(AND(SUM($J249:$K249)&lt;&gt;$D249,SUM($J249:$K249)&lt;&gt;0),"gênero ","")&amp;IF(AND(SUM($L249:$S249)&lt;&gt;$D249,SUM($L249:$S249)&lt;&gt;0),"professor","")))))</f>
        <v/>
      </c>
      <c r="U249" s="5" t="n"/>
    </row>
    <row r="250" ht="18" customHeight="1">
      <c r="A250" s="3" t="n">
        <v>46302</v>
      </c>
      <c r="B250" s="4">
        <f>IF($A250="","",CHOOSE(MONTH($A250),"Janeiro","Fevereiro","Março","Abril","Maio","Junho","Julho","Agosto","Setembro","Outubro","Novembro","Dezembro"))</f>
        <v/>
      </c>
      <c r="C250" s="4">
        <f>IF($A250="","",CHOOSE(WEEKDAY($A250),"Domingo","Segunda-feira","Terça-feira","Quarta-feira","Quinta-feira","Sexta-feira","Sábado"))</f>
        <v/>
      </c>
      <c r="D250" s="5" t="n"/>
      <c r="E250" s="6">
        <f>IFERROR(INDEX(Consolidado_Mensal!$B$2:$B$12,MATCH($B250,Consolidado_Mensal!$A$2:$A$12,0)),"")</f>
        <v/>
      </c>
      <c r="F250" s="7">
        <f>IF($E250="","",SUMIFS($D$2:$D250,$B$2:$B250,$B250)/$E250)</f>
        <v/>
      </c>
      <c r="G250" s="6">
        <f>IF($E250="","",MAX(0,$E250-SUMIFS($D$2:$D250,$B$2:$B250,$B250)))</f>
        <v/>
      </c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6">
        <f>IF($D250="","",IF(AND($D250=0,SUM($H250:$S250)=0),"OK",IF(SUM($H250:$S250)=0,"Sem detalhe",IF(AND(OR(SUM($H250:$I250)=$D250,SUM($H250:$I250)=0),OR(SUM($J250:$K250)=$D250,SUM($J250:$K250)=0),OR(SUM($L250:$S250)=$D250,SUM($L250:$S250)=0)),"OK","Verificar: "&amp;IF(AND(SUM($H250:$I250)&lt;&gt;$D250,SUM($H250:$I250)&lt;&gt;0),"perfil ","")&amp;IF(AND(SUM($J250:$K250)&lt;&gt;$D250,SUM($J250:$K250)&lt;&gt;0),"gênero ","")&amp;IF(AND(SUM($L250:$S250)&lt;&gt;$D250,SUM($L250:$S250)&lt;&gt;0),"professor","")))))</f>
        <v/>
      </c>
      <c r="U250" s="5" t="n"/>
    </row>
    <row r="251" ht="18" customHeight="1">
      <c r="A251" s="3" t="n">
        <v>46303</v>
      </c>
      <c r="B251" s="4">
        <f>IF($A251="","",CHOOSE(MONTH($A251),"Janeiro","Fevereiro","Março","Abril","Maio","Junho","Julho","Agosto","Setembro","Outubro","Novembro","Dezembro"))</f>
        <v/>
      </c>
      <c r="C251" s="4">
        <f>IF($A251="","",CHOOSE(WEEKDAY($A251),"Domingo","Segunda-feira","Terça-feira","Quarta-feira","Quinta-feira","Sexta-feira","Sábado"))</f>
        <v/>
      </c>
      <c r="D251" s="5" t="n"/>
      <c r="E251" s="6">
        <f>IFERROR(INDEX(Consolidado_Mensal!$B$2:$B$12,MATCH($B251,Consolidado_Mensal!$A$2:$A$12,0)),"")</f>
        <v/>
      </c>
      <c r="F251" s="7">
        <f>IF($E251="","",SUMIFS($D$2:$D251,$B$2:$B251,$B251)/$E251)</f>
        <v/>
      </c>
      <c r="G251" s="6">
        <f>IF($E251="","",MAX(0,$E251-SUMIFS($D$2:$D251,$B$2:$B251,$B251)))</f>
        <v/>
      </c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6">
        <f>IF($D251="","",IF(AND($D251=0,SUM($H251:$S251)=0),"OK",IF(SUM($H251:$S251)=0,"Sem detalhe",IF(AND(OR(SUM($H251:$I251)=$D251,SUM($H251:$I251)=0),OR(SUM($J251:$K251)=$D251,SUM($J251:$K251)=0),OR(SUM($L251:$S251)=$D251,SUM($L251:$S251)=0)),"OK","Verificar: "&amp;IF(AND(SUM($H251:$I251)&lt;&gt;$D251,SUM($H251:$I251)&lt;&gt;0),"perfil ","")&amp;IF(AND(SUM($J251:$K251)&lt;&gt;$D251,SUM($J251:$K251)&lt;&gt;0),"gênero ","")&amp;IF(AND(SUM($L251:$S251)&lt;&gt;$D251,SUM($L251:$S251)&lt;&gt;0),"professor","")))))</f>
        <v/>
      </c>
      <c r="U251" s="5" t="n"/>
    </row>
    <row r="252" ht="18" customHeight="1">
      <c r="A252" s="3" t="n">
        <v>46304</v>
      </c>
      <c r="B252" s="4">
        <f>IF($A252="","",CHOOSE(MONTH($A252),"Janeiro","Fevereiro","Março","Abril","Maio","Junho","Julho","Agosto","Setembro","Outubro","Novembro","Dezembro"))</f>
        <v/>
      </c>
      <c r="C252" s="4">
        <f>IF($A252="","",CHOOSE(WEEKDAY($A252),"Domingo","Segunda-feira","Terça-feira","Quarta-feira","Quinta-feira","Sexta-feira","Sábado"))</f>
        <v/>
      </c>
      <c r="D252" s="5" t="n"/>
      <c r="E252" s="6">
        <f>IFERROR(INDEX(Consolidado_Mensal!$B$2:$B$12,MATCH($B252,Consolidado_Mensal!$A$2:$A$12,0)),"")</f>
        <v/>
      </c>
      <c r="F252" s="7">
        <f>IF($E252="","",SUMIFS($D$2:$D252,$B$2:$B252,$B252)/$E252)</f>
        <v/>
      </c>
      <c r="G252" s="6">
        <f>IF($E252="","",MAX(0,$E252-SUMIFS($D$2:$D252,$B$2:$B252,$B252)))</f>
        <v/>
      </c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6">
        <f>IF($D252="","",IF(AND($D252=0,SUM($H252:$S252)=0),"OK",IF(SUM($H252:$S252)=0,"Sem detalhe",IF(AND(OR(SUM($H252:$I252)=$D252,SUM($H252:$I252)=0),OR(SUM($J252:$K252)=$D252,SUM($J252:$K252)=0),OR(SUM($L252:$S252)=$D252,SUM($L252:$S252)=0)),"OK","Verificar: "&amp;IF(AND(SUM($H252:$I252)&lt;&gt;$D252,SUM($H252:$I252)&lt;&gt;0),"perfil ","")&amp;IF(AND(SUM($J252:$K252)&lt;&gt;$D252,SUM($J252:$K252)&lt;&gt;0),"gênero ","")&amp;IF(AND(SUM($L252:$S252)&lt;&gt;$D252,SUM($L252:$S252)&lt;&gt;0),"professor","")))))</f>
        <v/>
      </c>
      <c r="U252" s="5" t="n"/>
    </row>
    <row r="253" ht="18" customHeight="1">
      <c r="A253" s="3" t="n">
        <v>46305</v>
      </c>
      <c r="B253" s="4">
        <f>IF($A253="","",CHOOSE(MONTH($A253),"Janeiro","Fevereiro","Março","Abril","Maio","Junho","Julho","Agosto","Setembro","Outubro","Novembro","Dezembro"))</f>
        <v/>
      </c>
      <c r="C253" s="4">
        <f>IF($A253="","",CHOOSE(WEEKDAY($A253),"Domingo","Segunda-feira","Terça-feira","Quarta-feira","Quinta-feira","Sexta-feira","Sábado"))</f>
        <v/>
      </c>
      <c r="D253" s="5" t="n"/>
      <c r="E253" s="6">
        <f>IFERROR(INDEX(Consolidado_Mensal!$B$2:$B$12,MATCH($B253,Consolidado_Mensal!$A$2:$A$12,0)),"")</f>
        <v/>
      </c>
      <c r="F253" s="7">
        <f>IF($E253="","",SUMIFS($D$2:$D253,$B$2:$B253,$B253)/$E253)</f>
        <v/>
      </c>
      <c r="G253" s="6">
        <f>IF($E253="","",MAX(0,$E253-SUMIFS($D$2:$D253,$B$2:$B253,$B253)))</f>
        <v/>
      </c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6">
        <f>IF($D253="","",IF(AND($D253=0,SUM($H253:$S253)=0),"OK",IF(SUM($H253:$S253)=0,"Sem detalhe",IF(AND(OR(SUM($H253:$I253)=$D253,SUM($H253:$I253)=0),OR(SUM($J253:$K253)=$D253,SUM($J253:$K253)=0),OR(SUM($L253:$S253)=$D253,SUM($L253:$S253)=0)),"OK","Verificar: "&amp;IF(AND(SUM($H253:$I253)&lt;&gt;$D253,SUM($H253:$I253)&lt;&gt;0),"perfil ","")&amp;IF(AND(SUM($J253:$K253)&lt;&gt;$D253,SUM($J253:$K253)&lt;&gt;0),"gênero ","")&amp;IF(AND(SUM($L253:$S253)&lt;&gt;$D253,SUM($L253:$S253)&lt;&gt;0),"professor","")))))</f>
        <v/>
      </c>
      <c r="U253" s="5" t="n"/>
    </row>
    <row r="254" ht="18" customHeight="1">
      <c r="A254" s="3" t="n">
        <v>46306</v>
      </c>
      <c r="B254" s="4">
        <f>IF($A254="","",CHOOSE(MONTH($A254),"Janeiro","Fevereiro","Março","Abril","Maio","Junho","Julho","Agosto","Setembro","Outubro","Novembro","Dezembro"))</f>
        <v/>
      </c>
      <c r="C254" s="4">
        <f>IF($A254="","",CHOOSE(WEEKDAY($A254),"Domingo","Segunda-feira","Terça-feira","Quarta-feira","Quinta-feira","Sexta-feira","Sábado"))</f>
        <v/>
      </c>
      <c r="D254" s="5" t="n"/>
      <c r="E254" s="6">
        <f>IFERROR(INDEX(Consolidado_Mensal!$B$2:$B$12,MATCH($B254,Consolidado_Mensal!$A$2:$A$12,0)),"")</f>
        <v/>
      </c>
      <c r="F254" s="7">
        <f>IF($E254="","",SUMIFS($D$2:$D254,$B$2:$B254,$B254)/$E254)</f>
        <v/>
      </c>
      <c r="G254" s="6">
        <f>IF($E254="","",MAX(0,$E254-SUMIFS($D$2:$D254,$B$2:$B254,$B254)))</f>
        <v/>
      </c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6">
        <f>IF($D254="","",IF(AND($D254=0,SUM($H254:$S254)=0),"OK",IF(SUM($H254:$S254)=0,"Sem detalhe",IF(AND(OR(SUM($H254:$I254)=$D254,SUM($H254:$I254)=0),OR(SUM($J254:$K254)=$D254,SUM($J254:$K254)=0),OR(SUM($L254:$S254)=$D254,SUM($L254:$S254)=0)),"OK","Verificar: "&amp;IF(AND(SUM($H254:$I254)&lt;&gt;$D254,SUM($H254:$I254)&lt;&gt;0),"perfil ","")&amp;IF(AND(SUM($J254:$K254)&lt;&gt;$D254,SUM($J254:$K254)&lt;&gt;0),"gênero ","")&amp;IF(AND(SUM($L254:$S254)&lt;&gt;$D254,SUM($L254:$S254)&lt;&gt;0),"professor","")))))</f>
        <v/>
      </c>
      <c r="U254" s="5" t="n"/>
    </row>
    <row r="255" ht="18" customHeight="1">
      <c r="A255" s="3" t="n">
        <v>46307</v>
      </c>
      <c r="B255" s="4">
        <f>IF($A255="","",CHOOSE(MONTH($A255),"Janeiro","Fevereiro","Março","Abril","Maio","Junho","Julho","Agosto","Setembro","Outubro","Novembro","Dezembro"))</f>
        <v/>
      </c>
      <c r="C255" s="4">
        <f>IF($A255="","",CHOOSE(WEEKDAY($A255),"Domingo","Segunda-feira","Terça-feira","Quarta-feira","Quinta-feira","Sexta-feira","Sábado"))</f>
        <v/>
      </c>
      <c r="D255" s="5" t="n"/>
      <c r="E255" s="6">
        <f>IFERROR(INDEX(Consolidado_Mensal!$B$2:$B$12,MATCH($B255,Consolidado_Mensal!$A$2:$A$12,0)),"")</f>
        <v/>
      </c>
      <c r="F255" s="7">
        <f>IF($E255="","",SUMIFS($D$2:$D255,$B$2:$B255,$B255)/$E255)</f>
        <v/>
      </c>
      <c r="G255" s="6">
        <f>IF($E255="","",MAX(0,$E255-SUMIFS($D$2:$D255,$B$2:$B255,$B255)))</f>
        <v/>
      </c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6">
        <f>IF($D255="","",IF(AND($D255=0,SUM($H255:$S255)=0),"OK",IF(SUM($H255:$S255)=0,"Sem detalhe",IF(AND(OR(SUM($H255:$I255)=$D255,SUM($H255:$I255)=0),OR(SUM($J255:$K255)=$D255,SUM($J255:$K255)=0),OR(SUM($L255:$S255)=$D255,SUM($L255:$S255)=0)),"OK","Verificar: "&amp;IF(AND(SUM($H255:$I255)&lt;&gt;$D255,SUM($H255:$I255)&lt;&gt;0),"perfil ","")&amp;IF(AND(SUM($J255:$K255)&lt;&gt;$D255,SUM($J255:$K255)&lt;&gt;0),"gênero ","")&amp;IF(AND(SUM($L255:$S255)&lt;&gt;$D255,SUM($L255:$S255)&lt;&gt;0),"professor","")))))</f>
        <v/>
      </c>
      <c r="U255" s="5" t="n"/>
    </row>
    <row r="256" ht="18" customHeight="1">
      <c r="A256" s="3" t="n">
        <v>46308</v>
      </c>
      <c r="B256" s="4">
        <f>IF($A256="","",CHOOSE(MONTH($A256),"Janeiro","Fevereiro","Março","Abril","Maio","Junho","Julho","Agosto","Setembro","Outubro","Novembro","Dezembro"))</f>
        <v/>
      </c>
      <c r="C256" s="4">
        <f>IF($A256="","",CHOOSE(WEEKDAY($A256),"Domingo","Segunda-feira","Terça-feira","Quarta-feira","Quinta-feira","Sexta-feira","Sábado"))</f>
        <v/>
      </c>
      <c r="D256" s="5" t="n"/>
      <c r="E256" s="6">
        <f>IFERROR(INDEX(Consolidado_Mensal!$B$2:$B$12,MATCH($B256,Consolidado_Mensal!$A$2:$A$12,0)),"")</f>
        <v/>
      </c>
      <c r="F256" s="7">
        <f>IF($E256="","",SUMIFS($D$2:$D256,$B$2:$B256,$B256)/$E256)</f>
        <v/>
      </c>
      <c r="G256" s="6">
        <f>IF($E256="","",MAX(0,$E256-SUMIFS($D$2:$D256,$B$2:$B256,$B256)))</f>
        <v/>
      </c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6">
        <f>IF($D256="","",IF(AND($D256=0,SUM($H256:$S256)=0),"OK",IF(SUM($H256:$S256)=0,"Sem detalhe",IF(AND(OR(SUM($H256:$I256)=$D256,SUM($H256:$I256)=0),OR(SUM($J256:$K256)=$D256,SUM($J256:$K256)=0),OR(SUM($L256:$S256)=$D256,SUM($L256:$S256)=0)),"OK","Verificar: "&amp;IF(AND(SUM($H256:$I256)&lt;&gt;$D256,SUM($H256:$I256)&lt;&gt;0),"perfil ","")&amp;IF(AND(SUM($J256:$K256)&lt;&gt;$D256,SUM($J256:$K256)&lt;&gt;0),"gênero ","")&amp;IF(AND(SUM($L256:$S256)&lt;&gt;$D256,SUM($L256:$S256)&lt;&gt;0),"professor","")))))</f>
        <v/>
      </c>
      <c r="U256" s="5" t="n"/>
    </row>
    <row r="257" ht="18" customHeight="1">
      <c r="A257" s="3" t="n">
        <v>46309</v>
      </c>
      <c r="B257" s="4">
        <f>IF($A257="","",CHOOSE(MONTH($A257),"Janeiro","Fevereiro","Março","Abril","Maio","Junho","Julho","Agosto","Setembro","Outubro","Novembro","Dezembro"))</f>
        <v/>
      </c>
      <c r="C257" s="4">
        <f>IF($A257="","",CHOOSE(WEEKDAY($A257),"Domingo","Segunda-feira","Terça-feira","Quarta-feira","Quinta-feira","Sexta-feira","Sábado"))</f>
        <v/>
      </c>
      <c r="D257" s="5" t="n"/>
      <c r="E257" s="6">
        <f>IFERROR(INDEX(Consolidado_Mensal!$B$2:$B$12,MATCH($B257,Consolidado_Mensal!$A$2:$A$12,0)),"")</f>
        <v/>
      </c>
      <c r="F257" s="7">
        <f>IF($E257="","",SUMIFS($D$2:$D257,$B$2:$B257,$B257)/$E257)</f>
        <v/>
      </c>
      <c r="G257" s="6">
        <f>IF($E257="","",MAX(0,$E257-SUMIFS($D$2:$D257,$B$2:$B257,$B257)))</f>
        <v/>
      </c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6">
        <f>IF($D257="","",IF(AND($D257=0,SUM($H257:$S257)=0),"OK",IF(SUM($H257:$S257)=0,"Sem detalhe",IF(AND(OR(SUM($H257:$I257)=$D257,SUM($H257:$I257)=0),OR(SUM($J257:$K257)=$D257,SUM($J257:$K257)=0),OR(SUM($L257:$S257)=$D257,SUM($L257:$S257)=0)),"OK","Verificar: "&amp;IF(AND(SUM($H257:$I257)&lt;&gt;$D257,SUM($H257:$I257)&lt;&gt;0),"perfil ","")&amp;IF(AND(SUM($J257:$K257)&lt;&gt;$D257,SUM($J257:$K257)&lt;&gt;0),"gênero ","")&amp;IF(AND(SUM($L257:$S257)&lt;&gt;$D257,SUM($L257:$S257)&lt;&gt;0),"professor","")))))</f>
        <v/>
      </c>
      <c r="U257" s="5" t="n"/>
    </row>
    <row r="258" ht="18" customHeight="1">
      <c r="A258" s="3" t="n">
        <v>46310</v>
      </c>
      <c r="B258" s="4">
        <f>IF($A258="","",CHOOSE(MONTH($A258),"Janeiro","Fevereiro","Março","Abril","Maio","Junho","Julho","Agosto","Setembro","Outubro","Novembro","Dezembro"))</f>
        <v/>
      </c>
      <c r="C258" s="4">
        <f>IF($A258="","",CHOOSE(WEEKDAY($A258),"Domingo","Segunda-feira","Terça-feira","Quarta-feira","Quinta-feira","Sexta-feira","Sábado"))</f>
        <v/>
      </c>
      <c r="D258" s="5" t="n"/>
      <c r="E258" s="6">
        <f>IFERROR(INDEX(Consolidado_Mensal!$B$2:$B$12,MATCH($B258,Consolidado_Mensal!$A$2:$A$12,0)),"")</f>
        <v/>
      </c>
      <c r="F258" s="7">
        <f>IF($E258="","",SUMIFS($D$2:$D258,$B$2:$B258,$B258)/$E258)</f>
        <v/>
      </c>
      <c r="G258" s="6">
        <f>IF($E258="","",MAX(0,$E258-SUMIFS($D$2:$D258,$B$2:$B258,$B258)))</f>
        <v/>
      </c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6">
        <f>IF($D258="","",IF(AND($D258=0,SUM($H258:$S258)=0),"OK",IF(SUM($H258:$S258)=0,"Sem detalhe",IF(AND(OR(SUM($H258:$I258)=$D258,SUM($H258:$I258)=0),OR(SUM($J258:$K258)=$D258,SUM($J258:$K258)=0),OR(SUM($L258:$S258)=$D258,SUM($L258:$S258)=0)),"OK","Verificar: "&amp;IF(AND(SUM($H258:$I258)&lt;&gt;$D258,SUM($H258:$I258)&lt;&gt;0),"perfil ","")&amp;IF(AND(SUM($J258:$K258)&lt;&gt;$D258,SUM($J258:$K258)&lt;&gt;0),"gênero ","")&amp;IF(AND(SUM($L258:$S258)&lt;&gt;$D258,SUM($L258:$S258)&lt;&gt;0),"professor","")))))</f>
        <v/>
      </c>
      <c r="U258" s="5" t="n"/>
    </row>
    <row r="259" ht="18" customHeight="1">
      <c r="A259" s="3" t="n">
        <v>46311</v>
      </c>
      <c r="B259" s="4">
        <f>IF($A259="","",CHOOSE(MONTH($A259),"Janeiro","Fevereiro","Março","Abril","Maio","Junho","Julho","Agosto","Setembro","Outubro","Novembro","Dezembro"))</f>
        <v/>
      </c>
      <c r="C259" s="4">
        <f>IF($A259="","",CHOOSE(WEEKDAY($A259),"Domingo","Segunda-feira","Terça-feira","Quarta-feira","Quinta-feira","Sexta-feira","Sábado"))</f>
        <v/>
      </c>
      <c r="D259" s="5" t="n"/>
      <c r="E259" s="6">
        <f>IFERROR(INDEX(Consolidado_Mensal!$B$2:$B$12,MATCH($B259,Consolidado_Mensal!$A$2:$A$12,0)),"")</f>
        <v/>
      </c>
      <c r="F259" s="7">
        <f>IF($E259="","",SUMIFS($D$2:$D259,$B$2:$B259,$B259)/$E259)</f>
        <v/>
      </c>
      <c r="G259" s="6">
        <f>IF($E259="","",MAX(0,$E259-SUMIFS($D$2:$D259,$B$2:$B259,$B259)))</f>
        <v/>
      </c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6">
        <f>IF($D259="","",IF(AND($D259=0,SUM($H259:$S259)=0),"OK",IF(SUM($H259:$S259)=0,"Sem detalhe",IF(AND(OR(SUM($H259:$I259)=$D259,SUM($H259:$I259)=0),OR(SUM($J259:$K259)=$D259,SUM($J259:$K259)=0),OR(SUM($L259:$S259)=$D259,SUM($L259:$S259)=0)),"OK","Verificar: "&amp;IF(AND(SUM($H259:$I259)&lt;&gt;$D259,SUM($H259:$I259)&lt;&gt;0),"perfil ","")&amp;IF(AND(SUM($J259:$K259)&lt;&gt;$D259,SUM($J259:$K259)&lt;&gt;0),"gênero ","")&amp;IF(AND(SUM($L259:$S259)&lt;&gt;$D259,SUM($L259:$S259)&lt;&gt;0),"professor","")))))</f>
        <v/>
      </c>
      <c r="U259" s="5" t="n"/>
    </row>
    <row r="260" ht="18" customHeight="1">
      <c r="A260" s="3" t="n">
        <v>46312</v>
      </c>
      <c r="B260" s="4">
        <f>IF($A260="","",CHOOSE(MONTH($A260),"Janeiro","Fevereiro","Março","Abril","Maio","Junho","Julho","Agosto","Setembro","Outubro","Novembro","Dezembro"))</f>
        <v/>
      </c>
      <c r="C260" s="4">
        <f>IF($A260="","",CHOOSE(WEEKDAY($A260),"Domingo","Segunda-feira","Terça-feira","Quarta-feira","Quinta-feira","Sexta-feira","Sábado"))</f>
        <v/>
      </c>
      <c r="D260" s="5" t="n"/>
      <c r="E260" s="6">
        <f>IFERROR(INDEX(Consolidado_Mensal!$B$2:$B$12,MATCH($B260,Consolidado_Mensal!$A$2:$A$12,0)),"")</f>
        <v/>
      </c>
      <c r="F260" s="7">
        <f>IF($E260="","",SUMIFS($D$2:$D260,$B$2:$B260,$B260)/$E260)</f>
        <v/>
      </c>
      <c r="G260" s="6">
        <f>IF($E260="","",MAX(0,$E260-SUMIFS($D$2:$D260,$B$2:$B260,$B260)))</f>
        <v/>
      </c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6">
        <f>IF($D260="","",IF(AND($D260=0,SUM($H260:$S260)=0),"OK",IF(SUM($H260:$S260)=0,"Sem detalhe",IF(AND(OR(SUM($H260:$I260)=$D260,SUM($H260:$I260)=0),OR(SUM($J260:$K260)=$D260,SUM($J260:$K260)=0),OR(SUM($L260:$S260)=$D260,SUM($L260:$S260)=0)),"OK","Verificar: "&amp;IF(AND(SUM($H260:$I260)&lt;&gt;$D260,SUM($H260:$I260)&lt;&gt;0),"perfil ","")&amp;IF(AND(SUM($J260:$K260)&lt;&gt;$D260,SUM($J260:$K260)&lt;&gt;0),"gênero ","")&amp;IF(AND(SUM($L260:$S260)&lt;&gt;$D260,SUM($L260:$S260)&lt;&gt;0),"professor","")))))</f>
        <v/>
      </c>
      <c r="U260" s="5" t="n"/>
    </row>
    <row r="261" ht="18" customHeight="1">
      <c r="A261" s="3" t="n">
        <v>46313</v>
      </c>
      <c r="B261" s="4">
        <f>IF($A261="","",CHOOSE(MONTH($A261),"Janeiro","Fevereiro","Março","Abril","Maio","Junho","Julho","Agosto","Setembro","Outubro","Novembro","Dezembro"))</f>
        <v/>
      </c>
      <c r="C261" s="4">
        <f>IF($A261="","",CHOOSE(WEEKDAY($A261),"Domingo","Segunda-feira","Terça-feira","Quarta-feira","Quinta-feira","Sexta-feira","Sábado"))</f>
        <v/>
      </c>
      <c r="D261" s="5" t="n"/>
      <c r="E261" s="6">
        <f>IFERROR(INDEX(Consolidado_Mensal!$B$2:$B$12,MATCH($B261,Consolidado_Mensal!$A$2:$A$12,0)),"")</f>
        <v/>
      </c>
      <c r="F261" s="7">
        <f>IF($E261="","",SUMIFS($D$2:$D261,$B$2:$B261,$B261)/$E261)</f>
        <v/>
      </c>
      <c r="G261" s="6">
        <f>IF($E261="","",MAX(0,$E261-SUMIFS($D$2:$D261,$B$2:$B261,$B261)))</f>
        <v/>
      </c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6">
        <f>IF($D261="","",IF(AND($D261=0,SUM($H261:$S261)=0),"OK",IF(SUM($H261:$S261)=0,"Sem detalhe",IF(AND(OR(SUM($H261:$I261)=$D261,SUM($H261:$I261)=0),OR(SUM($J261:$K261)=$D261,SUM($J261:$K261)=0),OR(SUM($L261:$S261)=$D261,SUM($L261:$S261)=0)),"OK","Verificar: "&amp;IF(AND(SUM($H261:$I261)&lt;&gt;$D261,SUM($H261:$I261)&lt;&gt;0),"perfil ","")&amp;IF(AND(SUM($J261:$K261)&lt;&gt;$D261,SUM($J261:$K261)&lt;&gt;0),"gênero ","")&amp;IF(AND(SUM($L261:$S261)&lt;&gt;$D261,SUM($L261:$S261)&lt;&gt;0),"professor","")))))</f>
        <v/>
      </c>
      <c r="U261" s="5" t="n"/>
    </row>
    <row r="262" ht="18" customHeight="1">
      <c r="A262" s="3" t="n">
        <v>46314</v>
      </c>
      <c r="B262" s="4">
        <f>IF($A262="","",CHOOSE(MONTH($A262),"Janeiro","Fevereiro","Março","Abril","Maio","Junho","Julho","Agosto","Setembro","Outubro","Novembro","Dezembro"))</f>
        <v/>
      </c>
      <c r="C262" s="4">
        <f>IF($A262="","",CHOOSE(WEEKDAY($A262),"Domingo","Segunda-feira","Terça-feira","Quarta-feira","Quinta-feira","Sexta-feira","Sábado"))</f>
        <v/>
      </c>
      <c r="D262" s="5" t="n"/>
      <c r="E262" s="6">
        <f>IFERROR(INDEX(Consolidado_Mensal!$B$2:$B$12,MATCH($B262,Consolidado_Mensal!$A$2:$A$12,0)),"")</f>
        <v/>
      </c>
      <c r="F262" s="7">
        <f>IF($E262="","",SUMIFS($D$2:$D262,$B$2:$B262,$B262)/$E262)</f>
        <v/>
      </c>
      <c r="G262" s="6">
        <f>IF($E262="","",MAX(0,$E262-SUMIFS($D$2:$D262,$B$2:$B262,$B262)))</f>
        <v/>
      </c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6">
        <f>IF($D262="","",IF(AND($D262=0,SUM($H262:$S262)=0),"OK",IF(SUM($H262:$S262)=0,"Sem detalhe",IF(AND(OR(SUM($H262:$I262)=$D262,SUM($H262:$I262)=0),OR(SUM($J262:$K262)=$D262,SUM($J262:$K262)=0),OR(SUM($L262:$S262)=$D262,SUM($L262:$S262)=0)),"OK","Verificar: "&amp;IF(AND(SUM($H262:$I262)&lt;&gt;$D262,SUM($H262:$I262)&lt;&gt;0),"perfil ","")&amp;IF(AND(SUM($J262:$K262)&lt;&gt;$D262,SUM($J262:$K262)&lt;&gt;0),"gênero ","")&amp;IF(AND(SUM($L262:$S262)&lt;&gt;$D262,SUM($L262:$S262)&lt;&gt;0),"professor","")))))</f>
        <v/>
      </c>
      <c r="U262" s="5" t="n"/>
    </row>
    <row r="263" ht="18" customHeight="1">
      <c r="A263" s="3" t="n">
        <v>46315</v>
      </c>
      <c r="B263" s="4">
        <f>IF($A263="","",CHOOSE(MONTH($A263),"Janeiro","Fevereiro","Março","Abril","Maio","Junho","Julho","Agosto","Setembro","Outubro","Novembro","Dezembro"))</f>
        <v/>
      </c>
      <c r="C263" s="4">
        <f>IF($A263="","",CHOOSE(WEEKDAY($A263),"Domingo","Segunda-feira","Terça-feira","Quarta-feira","Quinta-feira","Sexta-feira","Sábado"))</f>
        <v/>
      </c>
      <c r="D263" s="5" t="n"/>
      <c r="E263" s="6">
        <f>IFERROR(INDEX(Consolidado_Mensal!$B$2:$B$12,MATCH($B263,Consolidado_Mensal!$A$2:$A$12,0)),"")</f>
        <v/>
      </c>
      <c r="F263" s="7">
        <f>IF($E263="","",SUMIFS($D$2:$D263,$B$2:$B263,$B263)/$E263)</f>
        <v/>
      </c>
      <c r="G263" s="6">
        <f>IF($E263="","",MAX(0,$E263-SUMIFS($D$2:$D263,$B$2:$B263,$B263)))</f>
        <v/>
      </c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6">
        <f>IF($D263="","",IF(AND($D263=0,SUM($H263:$S263)=0),"OK",IF(SUM($H263:$S263)=0,"Sem detalhe",IF(AND(OR(SUM($H263:$I263)=$D263,SUM($H263:$I263)=0),OR(SUM($J263:$K263)=$D263,SUM($J263:$K263)=0),OR(SUM($L263:$S263)=$D263,SUM($L263:$S263)=0)),"OK","Verificar: "&amp;IF(AND(SUM($H263:$I263)&lt;&gt;$D263,SUM($H263:$I263)&lt;&gt;0),"perfil ","")&amp;IF(AND(SUM($J263:$K263)&lt;&gt;$D263,SUM($J263:$K263)&lt;&gt;0),"gênero ","")&amp;IF(AND(SUM($L263:$S263)&lt;&gt;$D263,SUM($L263:$S263)&lt;&gt;0),"professor","")))))</f>
        <v/>
      </c>
      <c r="U263" s="5" t="n"/>
    </row>
    <row r="264" ht="18" customHeight="1">
      <c r="A264" s="3" t="n">
        <v>46316</v>
      </c>
      <c r="B264" s="4">
        <f>IF($A264="","",CHOOSE(MONTH($A264),"Janeiro","Fevereiro","Março","Abril","Maio","Junho","Julho","Agosto","Setembro","Outubro","Novembro","Dezembro"))</f>
        <v/>
      </c>
      <c r="C264" s="4">
        <f>IF($A264="","",CHOOSE(WEEKDAY($A264),"Domingo","Segunda-feira","Terça-feira","Quarta-feira","Quinta-feira","Sexta-feira","Sábado"))</f>
        <v/>
      </c>
      <c r="D264" s="5" t="n"/>
      <c r="E264" s="6">
        <f>IFERROR(INDEX(Consolidado_Mensal!$B$2:$B$12,MATCH($B264,Consolidado_Mensal!$A$2:$A$12,0)),"")</f>
        <v/>
      </c>
      <c r="F264" s="7">
        <f>IF($E264="","",SUMIFS($D$2:$D264,$B$2:$B264,$B264)/$E264)</f>
        <v/>
      </c>
      <c r="G264" s="6">
        <f>IF($E264="","",MAX(0,$E264-SUMIFS($D$2:$D264,$B$2:$B264,$B264)))</f>
        <v/>
      </c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6">
        <f>IF($D264="","",IF(AND($D264=0,SUM($H264:$S264)=0),"OK",IF(SUM($H264:$S264)=0,"Sem detalhe",IF(AND(OR(SUM($H264:$I264)=$D264,SUM($H264:$I264)=0),OR(SUM($J264:$K264)=$D264,SUM($J264:$K264)=0),OR(SUM($L264:$S264)=$D264,SUM($L264:$S264)=0)),"OK","Verificar: "&amp;IF(AND(SUM($H264:$I264)&lt;&gt;$D264,SUM($H264:$I264)&lt;&gt;0),"perfil ","")&amp;IF(AND(SUM($J264:$K264)&lt;&gt;$D264,SUM($J264:$K264)&lt;&gt;0),"gênero ","")&amp;IF(AND(SUM($L264:$S264)&lt;&gt;$D264,SUM($L264:$S264)&lt;&gt;0),"professor","")))))</f>
        <v/>
      </c>
      <c r="U264" s="5" t="n"/>
    </row>
    <row r="265" ht="18" customHeight="1">
      <c r="A265" s="3" t="n">
        <v>46317</v>
      </c>
      <c r="B265" s="4">
        <f>IF($A265="","",CHOOSE(MONTH($A265),"Janeiro","Fevereiro","Março","Abril","Maio","Junho","Julho","Agosto","Setembro","Outubro","Novembro","Dezembro"))</f>
        <v/>
      </c>
      <c r="C265" s="4">
        <f>IF($A265="","",CHOOSE(WEEKDAY($A265),"Domingo","Segunda-feira","Terça-feira","Quarta-feira","Quinta-feira","Sexta-feira","Sábado"))</f>
        <v/>
      </c>
      <c r="D265" s="5" t="n"/>
      <c r="E265" s="6">
        <f>IFERROR(INDEX(Consolidado_Mensal!$B$2:$B$12,MATCH($B265,Consolidado_Mensal!$A$2:$A$12,0)),"")</f>
        <v/>
      </c>
      <c r="F265" s="7">
        <f>IF($E265="","",SUMIFS($D$2:$D265,$B$2:$B265,$B265)/$E265)</f>
        <v/>
      </c>
      <c r="G265" s="6">
        <f>IF($E265="","",MAX(0,$E265-SUMIFS($D$2:$D265,$B$2:$B265,$B265)))</f>
        <v/>
      </c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6">
        <f>IF($D265="","",IF(AND($D265=0,SUM($H265:$S265)=0),"OK",IF(SUM($H265:$S265)=0,"Sem detalhe",IF(AND(OR(SUM($H265:$I265)=$D265,SUM($H265:$I265)=0),OR(SUM($J265:$K265)=$D265,SUM($J265:$K265)=0),OR(SUM($L265:$S265)=$D265,SUM($L265:$S265)=0)),"OK","Verificar: "&amp;IF(AND(SUM($H265:$I265)&lt;&gt;$D265,SUM($H265:$I265)&lt;&gt;0),"perfil ","")&amp;IF(AND(SUM($J265:$K265)&lt;&gt;$D265,SUM($J265:$K265)&lt;&gt;0),"gênero ","")&amp;IF(AND(SUM($L265:$S265)&lt;&gt;$D265,SUM($L265:$S265)&lt;&gt;0),"professor","")))))</f>
        <v/>
      </c>
      <c r="U265" s="5" t="n"/>
    </row>
    <row r="266" ht="18" customHeight="1">
      <c r="A266" s="3" t="n">
        <v>46318</v>
      </c>
      <c r="B266" s="4">
        <f>IF($A266="","",CHOOSE(MONTH($A266),"Janeiro","Fevereiro","Março","Abril","Maio","Junho","Julho","Agosto","Setembro","Outubro","Novembro","Dezembro"))</f>
        <v/>
      </c>
      <c r="C266" s="4">
        <f>IF($A266="","",CHOOSE(WEEKDAY($A266),"Domingo","Segunda-feira","Terça-feira","Quarta-feira","Quinta-feira","Sexta-feira","Sábado"))</f>
        <v/>
      </c>
      <c r="D266" s="5" t="n"/>
      <c r="E266" s="6">
        <f>IFERROR(INDEX(Consolidado_Mensal!$B$2:$B$12,MATCH($B266,Consolidado_Mensal!$A$2:$A$12,0)),"")</f>
        <v/>
      </c>
      <c r="F266" s="7">
        <f>IF($E266="","",SUMIFS($D$2:$D266,$B$2:$B266,$B266)/$E266)</f>
        <v/>
      </c>
      <c r="G266" s="6">
        <f>IF($E266="","",MAX(0,$E266-SUMIFS($D$2:$D266,$B$2:$B266,$B266)))</f>
        <v/>
      </c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6">
        <f>IF($D266="","",IF(AND($D266=0,SUM($H266:$S266)=0),"OK",IF(SUM($H266:$S266)=0,"Sem detalhe",IF(AND(OR(SUM($H266:$I266)=$D266,SUM($H266:$I266)=0),OR(SUM($J266:$K266)=$D266,SUM($J266:$K266)=0),OR(SUM($L266:$S266)=$D266,SUM($L266:$S266)=0)),"OK","Verificar: "&amp;IF(AND(SUM($H266:$I266)&lt;&gt;$D266,SUM($H266:$I266)&lt;&gt;0),"perfil ","")&amp;IF(AND(SUM($J266:$K266)&lt;&gt;$D266,SUM($J266:$K266)&lt;&gt;0),"gênero ","")&amp;IF(AND(SUM($L266:$S266)&lt;&gt;$D266,SUM($L266:$S266)&lt;&gt;0),"professor","")))))</f>
        <v/>
      </c>
      <c r="U266" s="5" t="n"/>
    </row>
    <row r="267" ht="18" customHeight="1">
      <c r="A267" s="3" t="n">
        <v>46319</v>
      </c>
      <c r="B267" s="4">
        <f>IF($A267="","",CHOOSE(MONTH($A267),"Janeiro","Fevereiro","Março","Abril","Maio","Junho","Julho","Agosto","Setembro","Outubro","Novembro","Dezembro"))</f>
        <v/>
      </c>
      <c r="C267" s="4">
        <f>IF($A267="","",CHOOSE(WEEKDAY($A267),"Domingo","Segunda-feira","Terça-feira","Quarta-feira","Quinta-feira","Sexta-feira","Sábado"))</f>
        <v/>
      </c>
      <c r="D267" s="5" t="n"/>
      <c r="E267" s="6">
        <f>IFERROR(INDEX(Consolidado_Mensal!$B$2:$B$12,MATCH($B267,Consolidado_Mensal!$A$2:$A$12,0)),"")</f>
        <v/>
      </c>
      <c r="F267" s="7">
        <f>IF($E267="","",SUMIFS($D$2:$D267,$B$2:$B267,$B267)/$E267)</f>
        <v/>
      </c>
      <c r="G267" s="6">
        <f>IF($E267="","",MAX(0,$E267-SUMIFS($D$2:$D267,$B$2:$B267,$B267)))</f>
        <v/>
      </c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6">
        <f>IF($D267="","",IF(AND($D267=0,SUM($H267:$S267)=0),"OK",IF(SUM($H267:$S267)=0,"Sem detalhe",IF(AND(OR(SUM($H267:$I267)=$D267,SUM($H267:$I267)=0),OR(SUM($J267:$K267)=$D267,SUM($J267:$K267)=0),OR(SUM($L267:$S267)=$D267,SUM($L267:$S267)=0)),"OK","Verificar: "&amp;IF(AND(SUM($H267:$I267)&lt;&gt;$D267,SUM($H267:$I267)&lt;&gt;0),"perfil ","")&amp;IF(AND(SUM($J267:$K267)&lt;&gt;$D267,SUM($J267:$K267)&lt;&gt;0),"gênero ","")&amp;IF(AND(SUM($L267:$S267)&lt;&gt;$D267,SUM($L267:$S267)&lt;&gt;0),"professor","")))))</f>
        <v/>
      </c>
      <c r="U267" s="5" t="n"/>
    </row>
    <row r="268" ht="18" customHeight="1">
      <c r="A268" s="3" t="n">
        <v>46320</v>
      </c>
      <c r="B268" s="4">
        <f>IF($A268="","",CHOOSE(MONTH($A268),"Janeiro","Fevereiro","Março","Abril","Maio","Junho","Julho","Agosto","Setembro","Outubro","Novembro","Dezembro"))</f>
        <v/>
      </c>
      <c r="C268" s="4">
        <f>IF($A268="","",CHOOSE(WEEKDAY($A268),"Domingo","Segunda-feira","Terça-feira","Quarta-feira","Quinta-feira","Sexta-feira","Sábado"))</f>
        <v/>
      </c>
      <c r="D268" s="5" t="n"/>
      <c r="E268" s="6">
        <f>IFERROR(INDEX(Consolidado_Mensal!$B$2:$B$12,MATCH($B268,Consolidado_Mensal!$A$2:$A$12,0)),"")</f>
        <v/>
      </c>
      <c r="F268" s="7">
        <f>IF($E268="","",SUMIFS($D$2:$D268,$B$2:$B268,$B268)/$E268)</f>
        <v/>
      </c>
      <c r="G268" s="6">
        <f>IF($E268="","",MAX(0,$E268-SUMIFS($D$2:$D268,$B$2:$B268,$B268)))</f>
        <v/>
      </c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6">
        <f>IF($D268="","",IF(AND($D268=0,SUM($H268:$S268)=0),"OK",IF(SUM($H268:$S268)=0,"Sem detalhe",IF(AND(OR(SUM($H268:$I268)=$D268,SUM($H268:$I268)=0),OR(SUM($J268:$K268)=$D268,SUM($J268:$K268)=0),OR(SUM($L268:$S268)=$D268,SUM($L268:$S268)=0)),"OK","Verificar: "&amp;IF(AND(SUM($H268:$I268)&lt;&gt;$D268,SUM($H268:$I268)&lt;&gt;0),"perfil ","")&amp;IF(AND(SUM($J268:$K268)&lt;&gt;$D268,SUM($J268:$K268)&lt;&gt;0),"gênero ","")&amp;IF(AND(SUM($L268:$S268)&lt;&gt;$D268,SUM($L268:$S268)&lt;&gt;0),"professor","")))))</f>
        <v/>
      </c>
      <c r="U268" s="5" t="n"/>
    </row>
    <row r="269" ht="18" customHeight="1">
      <c r="A269" s="3" t="n">
        <v>46321</v>
      </c>
      <c r="B269" s="4">
        <f>IF($A269="","",CHOOSE(MONTH($A269),"Janeiro","Fevereiro","Março","Abril","Maio","Junho","Julho","Agosto","Setembro","Outubro","Novembro","Dezembro"))</f>
        <v/>
      </c>
      <c r="C269" s="4">
        <f>IF($A269="","",CHOOSE(WEEKDAY($A269),"Domingo","Segunda-feira","Terça-feira","Quarta-feira","Quinta-feira","Sexta-feira","Sábado"))</f>
        <v/>
      </c>
      <c r="D269" s="5" t="n"/>
      <c r="E269" s="6">
        <f>IFERROR(INDEX(Consolidado_Mensal!$B$2:$B$12,MATCH($B269,Consolidado_Mensal!$A$2:$A$12,0)),"")</f>
        <v/>
      </c>
      <c r="F269" s="7">
        <f>IF($E269="","",SUMIFS($D$2:$D269,$B$2:$B269,$B269)/$E269)</f>
        <v/>
      </c>
      <c r="G269" s="6">
        <f>IF($E269="","",MAX(0,$E269-SUMIFS($D$2:$D269,$B$2:$B269,$B269)))</f>
        <v/>
      </c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6">
        <f>IF($D269="","",IF(AND($D269=0,SUM($H269:$S269)=0),"OK",IF(SUM($H269:$S269)=0,"Sem detalhe",IF(AND(OR(SUM($H269:$I269)=$D269,SUM($H269:$I269)=0),OR(SUM($J269:$K269)=$D269,SUM($J269:$K269)=0),OR(SUM($L269:$S269)=$D269,SUM($L269:$S269)=0)),"OK","Verificar: "&amp;IF(AND(SUM($H269:$I269)&lt;&gt;$D269,SUM($H269:$I269)&lt;&gt;0),"perfil ","")&amp;IF(AND(SUM($J269:$K269)&lt;&gt;$D269,SUM($J269:$K269)&lt;&gt;0),"gênero ","")&amp;IF(AND(SUM($L269:$S269)&lt;&gt;$D269,SUM($L269:$S269)&lt;&gt;0),"professor","")))))</f>
        <v/>
      </c>
      <c r="U269" s="5" t="n"/>
    </row>
    <row r="270" ht="18" customHeight="1">
      <c r="A270" s="3" t="n">
        <v>46322</v>
      </c>
      <c r="B270" s="4">
        <f>IF($A270="","",CHOOSE(MONTH($A270),"Janeiro","Fevereiro","Março","Abril","Maio","Junho","Julho","Agosto","Setembro","Outubro","Novembro","Dezembro"))</f>
        <v/>
      </c>
      <c r="C270" s="4">
        <f>IF($A270="","",CHOOSE(WEEKDAY($A270),"Domingo","Segunda-feira","Terça-feira","Quarta-feira","Quinta-feira","Sexta-feira","Sábado"))</f>
        <v/>
      </c>
      <c r="D270" s="5" t="n"/>
      <c r="E270" s="6">
        <f>IFERROR(INDEX(Consolidado_Mensal!$B$2:$B$12,MATCH($B270,Consolidado_Mensal!$A$2:$A$12,0)),"")</f>
        <v/>
      </c>
      <c r="F270" s="7">
        <f>IF($E270="","",SUMIFS($D$2:$D270,$B$2:$B270,$B270)/$E270)</f>
        <v/>
      </c>
      <c r="G270" s="6">
        <f>IF($E270="","",MAX(0,$E270-SUMIFS($D$2:$D270,$B$2:$B270,$B270)))</f>
        <v/>
      </c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6">
        <f>IF($D270="","",IF(AND($D270=0,SUM($H270:$S270)=0),"OK",IF(SUM($H270:$S270)=0,"Sem detalhe",IF(AND(OR(SUM($H270:$I270)=$D270,SUM($H270:$I270)=0),OR(SUM($J270:$K270)=$D270,SUM($J270:$K270)=0),OR(SUM($L270:$S270)=$D270,SUM($L270:$S270)=0)),"OK","Verificar: "&amp;IF(AND(SUM($H270:$I270)&lt;&gt;$D270,SUM($H270:$I270)&lt;&gt;0),"perfil ","")&amp;IF(AND(SUM($J270:$K270)&lt;&gt;$D270,SUM($J270:$K270)&lt;&gt;0),"gênero ","")&amp;IF(AND(SUM($L270:$S270)&lt;&gt;$D270,SUM($L270:$S270)&lt;&gt;0),"professor","")))))</f>
        <v/>
      </c>
      <c r="U270" s="5" t="n"/>
    </row>
    <row r="271" ht="18" customHeight="1">
      <c r="A271" s="3" t="n">
        <v>46323</v>
      </c>
      <c r="B271" s="4">
        <f>IF($A271="","",CHOOSE(MONTH($A271),"Janeiro","Fevereiro","Março","Abril","Maio","Junho","Julho","Agosto","Setembro","Outubro","Novembro","Dezembro"))</f>
        <v/>
      </c>
      <c r="C271" s="4">
        <f>IF($A271="","",CHOOSE(WEEKDAY($A271),"Domingo","Segunda-feira","Terça-feira","Quarta-feira","Quinta-feira","Sexta-feira","Sábado"))</f>
        <v/>
      </c>
      <c r="D271" s="5" t="n"/>
      <c r="E271" s="6">
        <f>IFERROR(INDEX(Consolidado_Mensal!$B$2:$B$12,MATCH($B271,Consolidado_Mensal!$A$2:$A$12,0)),"")</f>
        <v/>
      </c>
      <c r="F271" s="7">
        <f>IF($E271="","",SUMIFS($D$2:$D271,$B$2:$B271,$B271)/$E271)</f>
        <v/>
      </c>
      <c r="G271" s="6">
        <f>IF($E271="","",MAX(0,$E271-SUMIFS($D$2:$D271,$B$2:$B271,$B271)))</f>
        <v/>
      </c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6">
        <f>IF($D271="","",IF(AND($D271=0,SUM($H271:$S271)=0),"OK",IF(SUM($H271:$S271)=0,"Sem detalhe",IF(AND(OR(SUM($H271:$I271)=$D271,SUM($H271:$I271)=0),OR(SUM($J271:$K271)=$D271,SUM($J271:$K271)=0),OR(SUM($L271:$S271)=$D271,SUM($L271:$S271)=0)),"OK","Verificar: "&amp;IF(AND(SUM($H271:$I271)&lt;&gt;$D271,SUM($H271:$I271)&lt;&gt;0),"perfil ","")&amp;IF(AND(SUM($J271:$K271)&lt;&gt;$D271,SUM($J271:$K271)&lt;&gt;0),"gênero ","")&amp;IF(AND(SUM($L271:$S271)&lt;&gt;$D271,SUM($L271:$S271)&lt;&gt;0),"professor","")))))</f>
        <v/>
      </c>
      <c r="U271" s="5" t="n"/>
    </row>
    <row r="272" ht="18" customHeight="1">
      <c r="A272" s="3" t="n">
        <v>46324</v>
      </c>
      <c r="B272" s="4">
        <f>IF($A272="","",CHOOSE(MONTH($A272),"Janeiro","Fevereiro","Março","Abril","Maio","Junho","Julho","Agosto","Setembro","Outubro","Novembro","Dezembro"))</f>
        <v/>
      </c>
      <c r="C272" s="4">
        <f>IF($A272="","",CHOOSE(WEEKDAY($A272),"Domingo","Segunda-feira","Terça-feira","Quarta-feira","Quinta-feira","Sexta-feira","Sábado"))</f>
        <v/>
      </c>
      <c r="D272" s="5" t="n"/>
      <c r="E272" s="6">
        <f>IFERROR(INDEX(Consolidado_Mensal!$B$2:$B$12,MATCH($B272,Consolidado_Mensal!$A$2:$A$12,0)),"")</f>
        <v/>
      </c>
      <c r="F272" s="7">
        <f>IF($E272="","",SUMIFS($D$2:$D272,$B$2:$B272,$B272)/$E272)</f>
        <v/>
      </c>
      <c r="G272" s="6">
        <f>IF($E272="","",MAX(0,$E272-SUMIFS($D$2:$D272,$B$2:$B272,$B272)))</f>
        <v/>
      </c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6">
        <f>IF($D272="","",IF(AND($D272=0,SUM($H272:$S272)=0),"OK",IF(SUM($H272:$S272)=0,"Sem detalhe",IF(AND(OR(SUM($H272:$I272)=$D272,SUM($H272:$I272)=0),OR(SUM($J272:$K272)=$D272,SUM($J272:$K272)=0),OR(SUM($L272:$S272)=$D272,SUM($L272:$S272)=0)),"OK","Verificar: "&amp;IF(AND(SUM($H272:$I272)&lt;&gt;$D272,SUM($H272:$I272)&lt;&gt;0),"perfil ","")&amp;IF(AND(SUM($J272:$K272)&lt;&gt;$D272,SUM($J272:$K272)&lt;&gt;0),"gênero ","")&amp;IF(AND(SUM($L272:$S272)&lt;&gt;$D272,SUM($L272:$S272)&lt;&gt;0),"professor","")))))</f>
        <v/>
      </c>
      <c r="U272" s="5" t="n"/>
    </row>
    <row r="273" ht="18" customHeight="1">
      <c r="A273" s="3" t="n">
        <v>46325</v>
      </c>
      <c r="B273" s="4">
        <f>IF($A273="","",CHOOSE(MONTH($A273),"Janeiro","Fevereiro","Março","Abril","Maio","Junho","Julho","Agosto","Setembro","Outubro","Novembro","Dezembro"))</f>
        <v/>
      </c>
      <c r="C273" s="4">
        <f>IF($A273="","",CHOOSE(WEEKDAY($A273),"Domingo","Segunda-feira","Terça-feira","Quarta-feira","Quinta-feira","Sexta-feira","Sábado"))</f>
        <v/>
      </c>
      <c r="D273" s="5" t="n"/>
      <c r="E273" s="6">
        <f>IFERROR(INDEX(Consolidado_Mensal!$B$2:$B$12,MATCH($B273,Consolidado_Mensal!$A$2:$A$12,0)),"")</f>
        <v/>
      </c>
      <c r="F273" s="7">
        <f>IF($E273="","",SUMIFS($D$2:$D273,$B$2:$B273,$B273)/$E273)</f>
        <v/>
      </c>
      <c r="G273" s="6">
        <f>IF($E273="","",MAX(0,$E273-SUMIFS($D$2:$D273,$B$2:$B273,$B273)))</f>
        <v/>
      </c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6">
        <f>IF($D273="","",IF(AND($D273=0,SUM($H273:$S273)=0),"OK",IF(SUM($H273:$S273)=0,"Sem detalhe",IF(AND(OR(SUM($H273:$I273)=$D273,SUM($H273:$I273)=0),OR(SUM($J273:$K273)=$D273,SUM($J273:$K273)=0),OR(SUM($L273:$S273)=$D273,SUM($L273:$S273)=0)),"OK","Verificar: "&amp;IF(AND(SUM($H273:$I273)&lt;&gt;$D273,SUM($H273:$I273)&lt;&gt;0),"perfil ","")&amp;IF(AND(SUM($J273:$K273)&lt;&gt;$D273,SUM($J273:$K273)&lt;&gt;0),"gênero ","")&amp;IF(AND(SUM($L273:$S273)&lt;&gt;$D273,SUM($L273:$S273)&lt;&gt;0),"professor","")))))</f>
        <v/>
      </c>
      <c r="U273" s="5" t="n"/>
    </row>
    <row r="274" ht="18" customHeight="1">
      <c r="A274" s="3" t="n">
        <v>46326</v>
      </c>
      <c r="B274" s="4">
        <f>IF($A274="","",CHOOSE(MONTH($A274),"Janeiro","Fevereiro","Março","Abril","Maio","Junho","Julho","Agosto","Setembro","Outubro","Novembro","Dezembro"))</f>
        <v/>
      </c>
      <c r="C274" s="4">
        <f>IF($A274="","",CHOOSE(WEEKDAY($A274),"Domingo","Segunda-feira","Terça-feira","Quarta-feira","Quinta-feira","Sexta-feira","Sábado"))</f>
        <v/>
      </c>
      <c r="D274" s="5" t="n"/>
      <c r="E274" s="6">
        <f>IFERROR(INDEX(Consolidado_Mensal!$B$2:$B$12,MATCH($B274,Consolidado_Mensal!$A$2:$A$12,0)),"")</f>
        <v/>
      </c>
      <c r="F274" s="7">
        <f>IF($E274="","",SUMIFS($D$2:$D274,$B$2:$B274,$B274)/$E274)</f>
        <v/>
      </c>
      <c r="G274" s="6">
        <f>IF($E274="","",MAX(0,$E274-SUMIFS($D$2:$D274,$B$2:$B274,$B274)))</f>
        <v/>
      </c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6">
        <f>IF($D274="","",IF(AND($D274=0,SUM($H274:$S274)=0),"OK",IF(SUM($H274:$S274)=0,"Sem detalhe",IF(AND(OR(SUM($H274:$I274)=$D274,SUM($H274:$I274)=0),OR(SUM($J274:$K274)=$D274,SUM($J274:$K274)=0),OR(SUM($L274:$S274)=$D274,SUM($L274:$S274)=0)),"OK","Verificar: "&amp;IF(AND(SUM($H274:$I274)&lt;&gt;$D274,SUM($H274:$I274)&lt;&gt;0),"perfil ","")&amp;IF(AND(SUM($J274:$K274)&lt;&gt;$D274,SUM($J274:$K274)&lt;&gt;0),"gênero ","")&amp;IF(AND(SUM($L274:$S274)&lt;&gt;$D274,SUM($L274:$S274)&lt;&gt;0),"professor","")))))</f>
        <v/>
      </c>
      <c r="U274" s="5" t="n"/>
    </row>
    <row r="275" ht="18" customHeight="1">
      <c r="A275" s="3" t="n">
        <v>46327</v>
      </c>
      <c r="B275" s="4">
        <f>IF($A275="","",CHOOSE(MONTH($A275),"Janeiro","Fevereiro","Março","Abril","Maio","Junho","Julho","Agosto","Setembro","Outubro","Novembro","Dezembro"))</f>
        <v/>
      </c>
      <c r="C275" s="4">
        <f>IF($A275="","",CHOOSE(WEEKDAY($A275),"Domingo","Segunda-feira","Terça-feira","Quarta-feira","Quinta-feira","Sexta-feira","Sábado"))</f>
        <v/>
      </c>
      <c r="D275" s="5" t="n"/>
      <c r="E275" s="6">
        <f>IFERROR(INDEX(Consolidado_Mensal!$B$2:$B$12,MATCH($B275,Consolidado_Mensal!$A$2:$A$12,0)),"")</f>
        <v/>
      </c>
      <c r="F275" s="7">
        <f>IF($E275="","",SUMIFS($D$2:$D275,$B$2:$B275,$B275)/$E275)</f>
        <v/>
      </c>
      <c r="G275" s="6">
        <f>IF($E275="","",MAX(0,$E275-SUMIFS($D$2:$D275,$B$2:$B275,$B275)))</f>
        <v/>
      </c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6">
        <f>IF($D275="","",IF(AND($D275=0,SUM($H275:$S275)=0),"OK",IF(SUM($H275:$S275)=0,"Sem detalhe",IF(AND(OR(SUM($H275:$I275)=$D275,SUM($H275:$I275)=0),OR(SUM($J275:$K275)=$D275,SUM($J275:$K275)=0),OR(SUM($L275:$S275)=$D275,SUM($L275:$S275)=0)),"OK","Verificar: "&amp;IF(AND(SUM($H275:$I275)&lt;&gt;$D275,SUM($H275:$I275)&lt;&gt;0),"perfil ","")&amp;IF(AND(SUM($J275:$K275)&lt;&gt;$D275,SUM($J275:$K275)&lt;&gt;0),"gênero ","")&amp;IF(AND(SUM($L275:$S275)&lt;&gt;$D275,SUM($L275:$S275)&lt;&gt;0),"professor","")))))</f>
        <v/>
      </c>
      <c r="U275" s="5" t="n"/>
    </row>
    <row r="276" ht="18" customHeight="1">
      <c r="A276" s="3" t="n">
        <v>46328</v>
      </c>
      <c r="B276" s="4">
        <f>IF($A276="","",CHOOSE(MONTH($A276),"Janeiro","Fevereiro","Março","Abril","Maio","Junho","Julho","Agosto","Setembro","Outubro","Novembro","Dezembro"))</f>
        <v/>
      </c>
      <c r="C276" s="4">
        <f>IF($A276="","",CHOOSE(WEEKDAY($A276),"Domingo","Segunda-feira","Terça-feira","Quarta-feira","Quinta-feira","Sexta-feira","Sábado"))</f>
        <v/>
      </c>
      <c r="D276" s="5" t="n"/>
      <c r="E276" s="6">
        <f>IFERROR(INDEX(Consolidado_Mensal!$B$2:$B$12,MATCH($B276,Consolidado_Mensal!$A$2:$A$12,0)),"")</f>
        <v/>
      </c>
      <c r="F276" s="7">
        <f>IF($E276="","",SUMIFS($D$2:$D276,$B$2:$B276,$B276)/$E276)</f>
        <v/>
      </c>
      <c r="G276" s="6">
        <f>IF($E276="","",MAX(0,$E276-SUMIFS($D$2:$D276,$B$2:$B276,$B276)))</f>
        <v/>
      </c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6">
        <f>IF($D276="","",IF(AND($D276=0,SUM($H276:$S276)=0),"OK",IF(SUM($H276:$S276)=0,"Sem detalhe",IF(AND(OR(SUM($H276:$I276)=$D276,SUM($H276:$I276)=0),OR(SUM($J276:$K276)=$D276,SUM($J276:$K276)=0),OR(SUM($L276:$S276)=$D276,SUM($L276:$S276)=0)),"OK","Verificar: "&amp;IF(AND(SUM($H276:$I276)&lt;&gt;$D276,SUM($H276:$I276)&lt;&gt;0),"perfil ","")&amp;IF(AND(SUM($J276:$K276)&lt;&gt;$D276,SUM($J276:$K276)&lt;&gt;0),"gênero ","")&amp;IF(AND(SUM($L276:$S276)&lt;&gt;$D276,SUM($L276:$S276)&lt;&gt;0),"professor","")))))</f>
        <v/>
      </c>
      <c r="U276" s="5" t="n"/>
    </row>
    <row r="277" ht="18" customHeight="1">
      <c r="A277" s="3" t="n">
        <v>46329</v>
      </c>
      <c r="B277" s="4">
        <f>IF($A277="","",CHOOSE(MONTH($A277),"Janeiro","Fevereiro","Março","Abril","Maio","Junho","Julho","Agosto","Setembro","Outubro","Novembro","Dezembro"))</f>
        <v/>
      </c>
      <c r="C277" s="4">
        <f>IF($A277="","",CHOOSE(WEEKDAY($A277),"Domingo","Segunda-feira","Terça-feira","Quarta-feira","Quinta-feira","Sexta-feira","Sábado"))</f>
        <v/>
      </c>
      <c r="D277" s="5" t="n"/>
      <c r="E277" s="6">
        <f>IFERROR(INDEX(Consolidado_Mensal!$B$2:$B$12,MATCH($B277,Consolidado_Mensal!$A$2:$A$12,0)),"")</f>
        <v/>
      </c>
      <c r="F277" s="7">
        <f>IF($E277="","",SUMIFS($D$2:$D277,$B$2:$B277,$B277)/$E277)</f>
        <v/>
      </c>
      <c r="G277" s="6">
        <f>IF($E277="","",MAX(0,$E277-SUMIFS($D$2:$D277,$B$2:$B277,$B277)))</f>
        <v/>
      </c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6">
        <f>IF($D277="","",IF(AND($D277=0,SUM($H277:$S277)=0),"OK",IF(SUM($H277:$S277)=0,"Sem detalhe",IF(AND(OR(SUM($H277:$I277)=$D277,SUM($H277:$I277)=0),OR(SUM($J277:$K277)=$D277,SUM($J277:$K277)=0),OR(SUM($L277:$S277)=$D277,SUM($L277:$S277)=0)),"OK","Verificar: "&amp;IF(AND(SUM($H277:$I277)&lt;&gt;$D277,SUM($H277:$I277)&lt;&gt;0),"perfil ","")&amp;IF(AND(SUM($J277:$K277)&lt;&gt;$D277,SUM($J277:$K277)&lt;&gt;0),"gênero ","")&amp;IF(AND(SUM($L277:$S277)&lt;&gt;$D277,SUM($L277:$S277)&lt;&gt;0),"professor","")))))</f>
        <v/>
      </c>
      <c r="U277" s="5" t="n"/>
    </row>
    <row r="278" ht="18" customHeight="1">
      <c r="A278" s="3" t="n">
        <v>46330</v>
      </c>
      <c r="B278" s="4">
        <f>IF($A278="","",CHOOSE(MONTH($A278),"Janeiro","Fevereiro","Março","Abril","Maio","Junho","Julho","Agosto","Setembro","Outubro","Novembro","Dezembro"))</f>
        <v/>
      </c>
      <c r="C278" s="4">
        <f>IF($A278="","",CHOOSE(WEEKDAY($A278),"Domingo","Segunda-feira","Terça-feira","Quarta-feira","Quinta-feira","Sexta-feira","Sábado"))</f>
        <v/>
      </c>
      <c r="D278" s="5" t="n"/>
      <c r="E278" s="6">
        <f>IFERROR(INDEX(Consolidado_Mensal!$B$2:$B$12,MATCH($B278,Consolidado_Mensal!$A$2:$A$12,0)),"")</f>
        <v/>
      </c>
      <c r="F278" s="7">
        <f>IF($E278="","",SUMIFS($D$2:$D278,$B$2:$B278,$B278)/$E278)</f>
        <v/>
      </c>
      <c r="G278" s="6">
        <f>IF($E278="","",MAX(0,$E278-SUMIFS($D$2:$D278,$B$2:$B278,$B278)))</f>
        <v/>
      </c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6">
        <f>IF($D278="","",IF(AND($D278=0,SUM($H278:$S278)=0),"OK",IF(SUM($H278:$S278)=0,"Sem detalhe",IF(AND(OR(SUM($H278:$I278)=$D278,SUM($H278:$I278)=0),OR(SUM($J278:$K278)=$D278,SUM($J278:$K278)=0),OR(SUM($L278:$S278)=$D278,SUM($L278:$S278)=0)),"OK","Verificar: "&amp;IF(AND(SUM($H278:$I278)&lt;&gt;$D278,SUM($H278:$I278)&lt;&gt;0),"perfil ","")&amp;IF(AND(SUM($J278:$K278)&lt;&gt;$D278,SUM($J278:$K278)&lt;&gt;0),"gênero ","")&amp;IF(AND(SUM($L278:$S278)&lt;&gt;$D278,SUM($L278:$S278)&lt;&gt;0),"professor","")))))</f>
        <v/>
      </c>
      <c r="U278" s="5" t="n"/>
    </row>
    <row r="279" ht="18" customHeight="1">
      <c r="A279" s="3" t="n">
        <v>46331</v>
      </c>
      <c r="B279" s="4">
        <f>IF($A279="","",CHOOSE(MONTH($A279),"Janeiro","Fevereiro","Março","Abril","Maio","Junho","Julho","Agosto","Setembro","Outubro","Novembro","Dezembro"))</f>
        <v/>
      </c>
      <c r="C279" s="4">
        <f>IF($A279="","",CHOOSE(WEEKDAY($A279),"Domingo","Segunda-feira","Terça-feira","Quarta-feira","Quinta-feira","Sexta-feira","Sábado"))</f>
        <v/>
      </c>
      <c r="D279" s="5" t="n"/>
      <c r="E279" s="6">
        <f>IFERROR(INDEX(Consolidado_Mensal!$B$2:$B$12,MATCH($B279,Consolidado_Mensal!$A$2:$A$12,0)),"")</f>
        <v/>
      </c>
      <c r="F279" s="7">
        <f>IF($E279="","",SUMIFS($D$2:$D279,$B$2:$B279,$B279)/$E279)</f>
        <v/>
      </c>
      <c r="G279" s="6">
        <f>IF($E279="","",MAX(0,$E279-SUMIFS($D$2:$D279,$B$2:$B279,$B279)))</f>
        <v/>
      </c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6">
        <f>IF($D279="","",IF(AND($D279=0,SUM($H279:$S279)=0),"OK",IF(SUM($H279:$S279)=0,"Sem detalhe",IF(AND(OR(SUM($H279:$I279)=$D279,SUM($H279:$I279)=0),OR(SUM($J279:$K279)=$D279,SUM($J279:$K279)=0),OR(SUM($L279:$S279)=$D279,SUM($L279:$S279)=0)),"OK","Verificar: "&amp;IF(AND(SUM($H279:$I279)&lt;&gt;$D279,SUM($H279:$I279)&lt;&gt;0),"perfil ","")&amp;IF(AND(SUM($J279:$K279)&lt;&gt;$D279,SUM($J279:$K279)&lt;&gt;0),"gênero ","")&amp;IF(AND(SUM($L279:$S279)&lt;&gt;$D279,SUM($L279:$S279)&lt;&gt;0),"professor","")))))</f>
        <v/>
      </c>
      <c r="U279" s="5" t="n"/>
    </row>
    <row r="280" ht="18" customHeight="1">
      <c r="A280" s="3" t="n">
        <v>46332</v>
      </c>
      <c r="B280" s="4">
        <f>IF($A280="","",CHOOSE(MONTH($A280),"Janeiro","Fevereiro","Março","Abril","Maio","Junho","Julho","Agosto","Setembro","Outubro","Novembro","Dezembro"))</f>
        <v/>
      </c>
      <c r="C280" s="4">
        <f>IF($A280="","",CHOOSE(WEEKDAY($A280),"Domingo","Segunda-feira","Terça-feira","Quarta-feira","Quinta-feira","Sexta-feira","Sábado"))</f>
        <v/>
      </c>
      <c r="D280" s="5" t="n"/>
      <c r="E280" s="6">
        <f>IFERROR(INDEX(Consolidado_Mensal!$B$2:$B$12,MATCH($B280,Consolidado_Mensal!$A$2:$A$12,0)),"")</f>
        <v/>
      </c>
      <c r="F280" s="7">
        <f>IF($E280="","",SUMIFS($D$2:$D280,$B$2:$B280,$B280)/$E280)</f>
        <v/>
      </c>
      <c r="G280" s="6">
        <f>IF($E280="","",MAX(0,$E280-SUMIFS($D$2:$D280,$B$2:$B280,$B280)))</f>
        <v/>
      </c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6">
        <f>IF($D280="","",IF(AND($D280=0,SUM($H280:$S280)=0),"OK",IF(SUM($H280:$S280)=0,"Sem detalhe",IF(AND(OR(SUM($H280:$I280)=$D280,SUM($H280:$I280)=0),OR(SUM($J280:$K280)=$D280,SUM($J280:$K280)=0),OR(SUM($L280:$S280)=$D280,SUM($L280:$S280)=0)),"OK","Verificar: "&amp;IF(AND(SUM($H280:$I280)&lt;&gt;$D280,SUM($H280:$I280)&lt;&gt;0),"perfil ","")&amp;IF(AND(SUM($J280:$K280)&lt;&gt;$D280,SUM($J280:$K280)&lt;&gt;0),"gênero ","")&amp;IF(AND(SUM($L280:$S280)&lt;&gt;$D280,SUM($L280:$S280)&lt;&gt;0),"professor","")))))</f>
        <v/>
      </c>
      <c r="U280" s="5" t="n"/>
    </row>
    <row r="281" ht="18" customHeight="1">
      <c r="A281" s="3" t="n">
        <v>46333</v>
      </c>
      <c r="B281" s="4">
        <f>IF($A281="","",CHOOSE(MONTH($A281),"Janeiro","Fevereiro","Março","Abril","Maio","Junho","Julho","Agosto","Setembro","Outubro","Novembro","Dezembro"))</f>
        <v/>
      </c>
      <c r="C281" s="4">
        <f>IF($A281="","",CHOOSE(WEEKDAY($A281),"Domingo","Segunda-feira","Terça-feira","Quarta-feira","Quinta-feira","Sexta-feira","Sábado"))</f>
        <v/>
      </c>
      <c r="D281" s="5" t="n"/>
      <c r="E281" s="6">
        <f>IFERROR(INDEX(Consolidado_Mensal!$B$2:$B$12,MATCH($B281,Consolidado_Mensal!$A$2:$A$12,0)),"")</f>
        <v/>
      </c>
      <c r="F281" s="7">
        <f>IF($E281="","",SUMIFS($D$2:$D281,$B$2:$B281,$B281)/$E281)</f>
        <v/>
      </c>
      <c r="G281" s="6">
        <f>IF($E281="","",MAX(0,$E281-SUMIFS($D$2:$D281,$B$2:$B281,$B281)))</f>
        <v/>
      </c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6">
        <f>IF($D281="","",IF(AND($D281=0,SUM($H281:$S281)=0),"OK",IF(SUM($H281:$S281)=0,"Sem detalhe",IF(AND(OR(SUM($H281:$I281)=$D281,SUM($H281:$I281)=0),OR(SUM($J281:$K281)=$D281,SUM($J281:$K281)=0),OR(SUM($L281:$S281)=$D281,SUM($L281:$S281)=0)),"OK","Verificar: "&amp;IF(AND(SUM($H281:$I281)&lt;&gt;$D281,SUM($H281:$I281)&lt;&gt;0),"perfil ","")&amp;IF(AND(SUM($J281:$K281)&lt;&gt;$D281,SUM($J281:$K281)&lt;&gt;0),"gênero ","")&amp;IF(AND(SUM($L281:$S281)&lt;&gt;$D281,SUM($L281:$S281)&lt;&gt;0),"professor","")))))</f>
        <v/>
      </c>
      <c r="U281" s="5" t="n"/>
    </row>
    <row r="282" ht="18" customHeight="1">
      <c r="A282" s="3" t="n">
        <v>46334</v>
      </c>
      <c r="B282" s="4">
        <f>IF($A282="","",CHOOSE(MONTH($A282),"Janeiro","Fevereiro","Março","Abril","Maio","Junho","Julho","Agosto","Setembro","Outubro","Novembro","Dezembro"))</f>
        <v/>
      </c>
      <c r="C282" s="4">
        <f>IF($A282="","",CHOOSE(WEEKDAY($A282),"Domingo","Segunda-feira","Terça-feira","Quarta-feira","Quinta-feira","Sexta-feira","Sábado"))</f>
        <v/>
      </c>
      <c r="D282" s="5" t="n"/>
      <c r="E282" s="6">
        <f>IFERROR(INDEX(Consolidado_Mensal!$B$2:$B$12,MATCH($B282,Consolidado_Mensal!$A$2:$A$12,0)),"")</f>
        <v/>
      </c>
      <c r="F282" s="7">
        <f>IF($E282="","",SUMIFS($D$2:$D282,$B$2:$B282,$B282)/$E282)</f>
        <v/>
      </c>
      <c r="G282" s="6">
        <f>IF($E282="","",MAX(0,$E282-SUMIFS($D$2:$D282,$B$2:$B282,$B282)))</f>
        <v/>
      </c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6">
        <f>IF($D282="","",IF(AND($D282=0,SUM($H282:$S282)=0),"OK",IF(SUM($H282:$S282)=0,"Sem detalhe",IF(AND(OR(SUM($H282:$I282)=$D282,SUM($H282:$I282)=0),OR(SUM($J282:$K282)=$D282,SUM($J282:$K282)=0),OR(SUM($L282:$S282)=$D282,SUM($L282:$S282)=0)),"OK","Verificar: "&amp;IF(AND(SUM($H282:$I282)&lt;&gt;$D282,SUM($H282:$I282)&lt;&gt;0),"perfil ","")&amp;IF(AND(SUM($J282:$K282)&lt;&gt;$D282,SUM($J282:$K282)&lt;&gt;0),"gênero ","")&amp;IF(AND(SUM($L282:$S282)&lt;&gt;$D282,SUM($L282:$S282)&lt;&gt;0),"professor","")))))</f>
        <v/>
      </c>
      <c r="U282" s="5" t="n"/>
    </row>
    <row r="283" ht="18" customHeight="1">
      <c r="A283" s="3" t="n">
        <v>46335</v>
      </c>
      <c r="B283" s="4">
        <f>IF($A283="","",CHOOSE(MONTH($A283),"Janeiro","Fevereiro","Março","Abril","Maio","Junho","Julho","Agosto","Setembro","Outubro","Novembro","Dezembro"))</f>
        <v/>
      </c>
      <c r="C283" s="4">
        <f>IF($A283="","",CHOOSE(WEEKDAY($A283),"Domingo","Segunda-feira","Terça-feira","Quarta-feira","Quinta-feira","Sexta-feira","Sábado"))</f>
        <v/>
      </c>
      <c r="D283" s="5" t="n"/>
      <c r="E283" s="6">
        <f>IFERROR(INDEX(Consolidado_Mensal!$B$2:$B$12,MATCH($B283,Consolidado_Mensal!$A$2:$A$12,0)),"")</f>
        <v/>
      </c>
      <c r="F283" s="7">
        <f>IF($E283="","",SUMIFS($D$2:$D283,$B$2:$B283,$B283)/$E283)</f>
        <v/>
      </c>
      <c r="G283" s="6">
        <f>IF($E283="","",MAX(0,$E283-SUMIFS($D$2:$D283,$B$2:$B283,$B283)))</f>
        <v/>
      </c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6">
        <f>IF($D283="","",IF(AND($D283=0,SUM($H283:$S283)=0),"OK",IF(SUM($H283:$S283)=0,"Sem detalhe",IF(AND(OR(SUM($H283:$I283)=$D283,SUM($H283:$I283)=0),OR(SUM($J283:$K283)=$D283,SUM($J283:$K283)=0),OR(SUM($L283:$S283)=$D283,SUM($L283:$S283)=0)),"OK","Verificar: "&amp;IF(AND(SUM($H283:$I283)&lt;&gt;$D283,SUM($H283:$I283)&lt;&gt;0),"perfil ","")&amp;IF(AND(SUM($J283:$K283)&lt;&gt;$D283,SUM($J283:$K283)&lt;&gt;0),"gênero ","")&amp;IF(AND(SUM($L283:$S283)&lt;&gt;$D283,SUM($L283:$S283)&lt;&gt;0),"professor","")))))</f>
        <v/>
      </c>
      <c r="U283" s="5" t="n"/>
    </row>
    <row r="284" ht="18" customHeight="1">
      <c r="A284" s="3" t="n">
        <v>46336</v>
      </c>
      <c r="B284" s="4">
        <f>IF($A284="","",CHOOSE(MONTH($A284),"Janeiro","Fevereiro","Março","Abril","Maio","Junho","Julho","Agosto","Setembro","Outubro","Novembro","Dezembro"))</f>
        <v/>
      </c>
      <c r="C284" s="4">
        <f>IF($A284="","",CHOOSE(WEEKDAY($A284),"Domingo","Segunda-feira","Terça-feira","Quarta-feira","Quinta-feira","Sexta-feira","Sábado"))</f>
        <v/>
      </c>
      <c r="D284" s="5" t="n"/>
      <c r="E284" s="6">
        <f>IFERROR(INDEX(Consolidado_Mensal!$B$2:$B$12,MATCH($B284,Consolidado_Mensal!$A$2:$A$12,0)),"")</f>
        <v/>
      </c>
      <c r="F284" s="7">
        <f>IF($E284="","",SUMIFS($D$2:$D284,$B$2:$B284,$B284)/$E284)</f>
        <v/>
      </c>
      <c r="G284" s="6">
        <f>IF($E284="","",MAX(0,$E284-SUMIFS($D$2:$D284,$B$2:$B284,$B284)))</f>
        <v/>
      </c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6">
        <f>IF($D284="","",IF(AND($D284=0,SUM($H284:$S284)=0),"OK",IF(SUM($H284:$S284)=0,"Sem detalhe",IF(AND(OR(SUM($H284:$I284)=$D284,SUM($H284:$I284)=0),OR(SUM($J284:$K284)=$D284,SUM($J284:$K284)=0),OR(SUM($L284:$S284)=$D284,SUM($L284:$S284)=0)),"OK","Verificar: "&amp;IF(AND(SUM($H284:$I284)&lt;&gt;$D284,SUM($H284:$I284)&lt;&gt;0),"perfil ","")&amp;IF(AND(SUM($J284:$K284)&lt;&gt;$D284,SUM($J284:$K284)&lt;&gt;0),"gênero ","")&amp;IF(AND(SUM($L284:$S284)&lt;&gt;$D284,SUM($L284:$S284)&lt;&gt;0),"professor","")))))</f>
        <v/>
      </c>
      <c r="U284" s="5" t="n"/>
    </row>
    <row r="285" ht="18" customHeight="1">
      <c r="A285" s="3" t="n">
        <v>46337</v>
      </c>
      <c r="B285" s="4">
        <f>IF($A285="","",CHOOSE(MONTH($A285),"Janeiro","Fevereiro","Março","Abril","Maio","Junho","Julho","Agosto","Setembro","Outubro","Novembro","Dezembro"))</f>
        <v/>
      </c>
      <c r="C285" s="4">
        <f>IF($A285="","",CHOOSE(WEEKDAY($A285),"Domingo","Segunda-feira","Terça-feira","Quarta-feira","Quinta-feira","Sexta-feira","Sábado"))</f>
        <v/>
      </c>
      <c r="D285" s="5" t="n"/>
      <c r="E285" s="6">
        <f>IFERROR(INDEX(Consolidado_Mensal!$B$2:$B$12,MATCH($B285,Consolidado_Mensal!$A$2:$A$12,0)),"")</f>
        <v/>
      </c>
      <c r="F285" s="7">
        <f>IF($E285="","",SUMIFS($D$2:$D285,$B$2:$B285,$B285)/$E285)</f>
        <v/>
      </c>
      <c r="G285" s="6">
        <f>IF($E285="","",MAX(0,$E285-SUMIFS($D$2:$D285,$B$2:$B285,$B285)))</f>
        <v/>
      </c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6">
        <f>IF($D285="","",IF(AND($D285=0,SUM($H285:$S285)=0),"OK",IF(SUM($H285:$S285)=0,"Sem detalhe",IF(AND(OR(SUM($H285:$I285)=$D285,SUM($H285:$I285)=0),OR(SUM($J285:$K285)=$D285,SUM($J285:$K285)=0),OR(SUM($L285:$S285)=$D285,SUM($L285:$S285)=0)),"OK","Verificar: "&amp;IF(AND(SUM($H285:$I285)&lt;&gt;$D285,SUM($H285:$I285)&lt;&gt;0),"perfil ","")&amp;IF(AND(SUM($J285:$K285)&lt;&gt;$D285,SUM($J285:$K285)&lt;&gt;0),"gênero ","")&amp;IF(AND(SUM($L285:$S285)&lt;&gt;$D285,SUM($L285:$S285)&lt;&gt;0),"professor","")))))</f>
        <v/>
      </c>
      <c r="U285" s="5" t="n"/>
    </row>
    <row r="286" ht="18" customHeight="1">
      <c r="A286" s="3" t="n">
        <v>46338</v>
      </c>
      <c r="B286" s="4">
        <f>IF($A286="","",CHOOSE(MONTH($A286),"Janeiro","Fevereiro","Março","Abril","Maio","Junho","Julho","Agosto","Setembro","Outubro","Novembro","Dezembro"))</f>
        <v/>
      </c>
      <c r="C286" s="4">
        <f>IF($A286="","",CHOOSE(WEEKDAY($A286),"Domingo","Segunda-feira","Terça-feira","Quarta-feira","Quinta-feira","Sexta-feira","Sábado"))</f>
        <v/>
      </c>
      <c r="D286" s="5" t="n"/>
      <c r="E286" s="6">
        <f>IFERROR(INDEX(Consolidado_Mensal!$B$2:$B$12,MATCH($B286,Consolidado_Mensal!$A$2:$A$12,0)),"")</f>
        <v/>
      </c>
      <c r="F286" s="7">
        <f>IF($E286="","",SUMIFS($D$2:$D286,$B$2:$B286,$B286)/$E286)</f>
        <v/>
      </c>
      <c r="G286" s="6">
        <f>IF($E286="","",MAX(0,$E286-SUMIFS($D$2:$D286,$B$2:$B286,$B286)))</f>
        <v/>
      </c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6">
        <f>IF($D286="","",IF(AND($D286=0,SUM($H286:$S286)=0),"OK",IF(SUM($H286:$S286)=0,"Sem detalhe",IF(AND(OR(SUM($H286:$I286)=$D286,SUM($H286:$I286)=0),OR(SUM($J286:$K286)=$D286,SUM($J286:$K286)=0),OR(SUM($L286:$S286)=$D286,SUM($L286:$S286)=0)),"OK","Verificar: "&amp;IF(AND(SUM($H286:$I286)&lt;&gt;$D286,SUM($H286:$I286)&lt;&gt;0),"perfil ","")&amp;IF(AND(SUM($J286:$K286)&lt;&gt;$D286,SUM($J286:$K286)&lt;&gt;0),"gênero ","")&amp;IF(AND(SUM($L286:$S286)&lt;&gt;$D286,SUM($L286:$S286)&lt;&gt;0),"professor","")))))</f>
        <v/>
      </c>
      <c r="U286" s="5" t="n"/>
    </row>
    <row r="287" ht="18" customHeight="1">
      <c r="A287" s="3" t="n">
        <v>46339</v>
      </c>
      <c r="B287" s="4">
        <f>IF($A287="","",CHOOSE(MONTH($A287),"Janeiro","Fevereiro","Março","Abril","Maio","Junho","Julho","Agosto","Setembro","Outubro","Novembro","Dezembro"))</f>
        <v/>
      </c>
      <c r="C287" s="4">
        <f>IF($A287="","",CHOOSE(WEEKDAY($A287),"Domingo","Segunda-feira","Terça-feira","Quarta-feira","Quinta-feira","Sexta-feira","Sábado"))</f>
        <v/>
      </c>
      <c r="D287" s="5" t="n"/>
      <c r="E287" s="6">
        <f>IFERROR(INDEX(Consolidado_Mensal!$B$2:$B$12,MATCH($B287,Consolidado_Mensal!$A$2:$A$12,0)),"")</f>
        <v/>
      </c>
      <c r="F287" s="7">
        <f>IF($E287="","",SUMIFS($D$2:$D287,$B$2:$B287,$B287)/$E287)</f>
        <v/>
      </c>
      <c r="G287" s="6">
        <f>IF($E287="","",MAX(0,$E287-SUMIFS($D$2:$D287,$B$2:$B287,$B287)))</f>
        <v/>
      </c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6">
        <f>IF($D287="","",IF(AND($D287=0,SUM($H287:$S287)=0),"OK",IF(SUM($H287:$S287)=0,"Sem detalhe",IF(AND(OR(SUM($H287:$I287)=$D287,SUM($H287:$I287)=0),OR(SUM($J287:$K287)=$D287,SUM($J287:$K287)=0),OR(SUM($L287:$S287)=$D287,SUM($L287:$S287)=0)),"OK","Verificar: "&amp;IF(AND(SUM($H287:$I287)&lt;&gt;$D287,SUM($H287:$I287)&lt;&gt;0),"perfil ","")&amp;IF(AND(SUM($J287:$K287)&lt;&gt;$D287,SUM($J287:$K287)&lt;&gt;0),"gênero ","")&amp;IF(AND(SUM($L287:$S287)&lt;&gt;$D287,SUM($L287:$S287)&lt;&gt;0),"professor","")))))</f>
        <v/>
      </c>
      <c r="U287" s="5" t="n"/>
    </row>
    <row r="288" ht="18" customHeight="1">
      <c r="A288" s="3" t="n">
        <v>46340</v>
      </c>
      <c r="B288" s="4">
        <f>IF($A288="","",CHOOSE(MONTH($A288),"Janeiro","Fevereiro","Março","Abril","Maio","Junho","Julho","Agosto","Setembro","Outubro","Novembro","Dezembro"))</f>
        <v/>
      </c>
      <c r="C288" s="4">
        <f>IF($A288="","",CHOOSE(WEEKDAY($A288),"Domingo","Segunda-feira","Terça-feira","Quarta-feira","Quinta-feira","Sexta-feira","Sábado"))</f>
        <v/>
      </c>
      <c r="D288" s="5" t="n"/>
      <c r="E288" s="6">
        <f>IFERROR(INDEX(Consolidado_Mensal!$B$2:$B$12,MATCH($B288,Consolidado_Mensal!$A$2:$A$12,0)),"")</f>
        <v/>
      </c>
      <c r="F288" s="7">
        <f>IF($E288="","",SUMIFS($D$2:$D288,$B$2:$B288,$B288)/$E288)</f>
        <v/>
      </c>
      <c r="G288" s="6">
        <f>IF($E288="","",MAX(0,$E288-SUMIFS($D$2:$D288,$B$2:$B288,$B288)))</f>
        <v/>
      </c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6">
        <f>IF($D288="","",IF(AND($D288=0,SUM($H288:$S288)=0),"OK",IF(SUM($H288:$S288)=0,"Sem detalhe",IF(AND(OR(SUM($H288:$I288)=$D288,SUM($H288:$I288)=0),OR(SUM($J288:$K288)=$D288,SUM($J288:$K288)=0),OR(SUM($L288:$S288)=$D288,SUM($L288:$S288)=0)),"OK","Verificar: "&amp;IF(AND(SUM($H288:$I288)&lt;&gt;$D288,SUM($H288:$I288)&lt;&gt;0),"perfil ","")&amp;IF(AND(SUM($J288:$K288)&lt;&gt;$D288,SUM($J288:$K288)&lt;&gt;0),"gênero ","")&amp;IF(AND(SUM($L288:$S288)&lt;&gt;$D288,SUM($L288:$S288)&lt;&gt;0),"professor","")))))</f>
        <v/>
      </c>
      <c r="U288" s="5" t="n"/>
    </row>
    <row r="289" ht="18" customHeight="1">
      <c r="A289" s="3" t="n">
        <v>46341</v>
      </c>
      <c r="B289" s="4">
        <f>IF($A289="","",CHOOSE(MONTH($A289),"Janeiro","Fevereiro","Março","Abril","Maio","Junho","Julho","Agosto","Setembro","Outubro","Novembro","Dezembro"))</f>
        <v/>
      </c>
      <c r="C289" s="4">
        <f>IF($A289="","",CHOOSE(WEEKDAY($A289),"Domingo","Segunda-feira","Terça-feira","Quarta-feira","Quinta-feira","Sexta-feira","Sábado"))</f>
        <v/>
      </c>
      <c r="D289" s="5" t="n"/>
      <c r="E289" s="6">
        <f>IFERROR(INDEX(Consolidado_Mensal!$B$2:$B$12,MATCH($B289,Consolidado_Mensal!$A$2:$A$12,0)),"")</f>
        <v/>
      </c>
      <c r="F289" s="7">
        <f>IF($E289="","",SUMIFS($D$2:$D289,$B$2:$B289,$B289)/$E289)</f>
        <v/>
      </c>
      <c r="G289" s="6">
        <f>IF($E289="","",MAX(0,$E289-SUMIFS($D$2:$D289,$B$2:$B289,$B289)))</f>
        <v/>
      </c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6">
        <f>IF($D289="","",IF(AND($D289=0,SUM($H289:$S289)=0),"OK",IF(SUM($H289:$S289)=0,"Sem detalhe",IF(AND(OR(SUM($H289:$I289)=$D289,SUM($H289:$I289)=0),OR(SUM($J289:$K289)=$D289,SUM($J289:$K289)=0),OR(SUM($L289:$S289)=$D289,SUM($L289:$S289)=0)),"OK","Verificar: "&amp;IF(AND(SUM($H289:$I289)&lt;&gt;$D289,SUM($H289:$I289)&lt;&gt;0),"perfil ","")&amp;IF(AND(SUM($J289:$K289)&lt;&gt;$D289,SUM($J289:$K289)&lt;&gt;0),"gênero ","")&amp;IF(AND(SUM($L289:$S289)&lt;&gt;$D289,SUM($L289:$S289)&lt;&gt;0),"professor","")))))</f>
        <v/>
      </c>
      <c r="U289" s="5" t="n"/>
    </row>
    <row r="290" ht="18" customHeight="1">
      <c r="A290" s="3" t="n">
        <v>46342</v>
      </c>
      <c r="B290" s="4">
        <f>IF($A290="","",CHOOSE(MONTH($A290),"Janeiro","Fevereiro","Março","Abril","Maio","Junho","Julho","Agosto","Setembro","Outubro","Novembro","Dezembro"))</f>
        <v/>
      </c>
      <c r="C290" s="4">
        <f>IF($A290="","",CHOOSE(WEEKDAY($A290),"Domingo","Segunda-feira","Terça-feira","Quarta-feira","Quinta-feira","Sexta-feira","Sábado"))</f>
        <v/>
      </c>
      <c r="D290" s="5" t="n"/>
      <c r="E290" s="6">
        <f>IFERROR(INDEX(Consolidado_Mensal!$B$2:$B$12,MATCH($B290,Consolidado_Mensal!$A$2:$A$12,0)),"")</f>
        <v/>
      </c>
      <c r="F290" s="7">
        <f>IF($E290="","",SUMIFS($D$2:$D290,$B$2:$B290,$B290)/$E290)</f>
        <v/>
      </c>
      <c r="G290" s="6">
        <f>IF($E290="","",MAX(0,$E290-SUMIFS($D$2:$D290,$B$2:$B290,$B290)))</f>
        <v/>
      </c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6">
        <f>IF($D290="","",IF(AND($D290=0,SUM($H290:$S290)=0),"OK",IF(SUM($H290:$S290)=0,"Sem detalhe",IF(AND(OR(SUM($H290:$I290)=$D290,SUM($H290:$I290)=0),OR(SUM($J290:$K290)=$D290,SUM($J290:$K290)=0),OR(SUM($L290:$S290)=$D290,SUM($L290:$S290)=0)),"OK","Verificar: "&amp;IF(AND(SUM($H290:$I290)&lt;&gt;$D290,SUM($H290:$I290)&lt;&gt;0),"perfil ","")&amp;IF(AND(SUM($J290:$K290)&lt;&gt;$D290,SUM($J290:$K290)&lt;&gt;0),"gênero ","")&amp;IF(AND(SUM($L290:$S290)&lt;&gt;$D290,SUM($L290:$S290)&lt;&gt;0),"professor","")))))</f>
        <v/>
      </c>
      <c r="U290" s="5" t="n"/>
    </row>
    <row r="291" ht="18" customHeight="1">
      <c r="A291" s="3" t="n">
        <v>46343</v>
      </c>
      <c r="B291" s="4">
        <f>IF($A291="","",CHOOSE(MONTH($A291),"Janeiro","Fevereiro","Março","Abril","Maio","Junho","Julho","Agosto","Setembro","Outubro","Novembro","Dezembro"))</f>
        <v/>
      </c>
      <c r="C291" s="4">
        <f>IF($A291="","",CHOOSE(WEEKDAY($A291),"Domingo","Segunda-feira","Terça-feira","Quarta-feira","Quinta-feira","Sexta-feira","Sábado"))</f>
        <v/>
      </c>
      <c r="D291" s="5" t="n"/>
      <c r="E291" s="6">
        <f>IFERROR(INDEX(Consolidado_Mensal!$B$2:$B$12,MATCH($B291,Consolidado_Mensal!$A$2:$A$12,0)),"")</f>
        <v/>
      </c>
      <c r="F291" s="7">
        <f>IF($E291="","",SUMIFS($D$2:$D291,$B$2:$B291,$B291)/$E291)</f>
        <v/>
      </c>
      <c r="G291" s="6">
        <f>IF($E291="","",MAX(0,$E291-SUMIFS($D$2:$D291,$B$2:$B291,$B291)))</f>
        <v/>
      </c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6">
        <f>IF($D291="","",IF(AND($D291=0,SUM($H291:$S291)=0),"OK",IF(SUM($H291:$S291)=0,"Sem detalhe",IF(AND(OR(SUM($H291:$I291)=$D291,SUM($H291:$I291)=0),OR(SUM($J291:$K291)=$D291,SUM($J291:$K291)=0),OR(SUM($L291:$S291)=$D291,SUM($L291:$S291)=0)),"OK","Verificar: "&amp;IF(AND(SUM($H291:$I291)&lt;&gt;$D291,SUM($H291:$I291)&lt;&gt;0),"perfil ","")&amp;IF(AND(SUM($J291:$K291)&lt;&gt;$D291,SUM($J291:$K291)&lt;&gt;0),"gênero ","")&amp;IF(AND(SUM($L291:$S291)&lt;&gt;$D291,SUM($L291:$S291)&lt;&gt;0),"professor","")))))</f>
        <v/>
      </c>
      <c r="U291" s="5" t="n"/>
    </row>
    <row r="292" ht="18" customHeight="1">
      <c r="A292" s="3" t="n">
        <v>46344</v>
      </c>
      <c r="B292" s="4">
        <f>IF($A292="","",CHOOSE(MONTH($A292),"Janeiro","Fevereiro","Março","Abril","Maio","Junho","Julho","Agosto","Setembro","Outubro","Novembro","Dezembro"))</f>
        <v/>
      </c>
      <c r="C292" s="4">
        <f>IF($A292="","",CHOOSE(WEEKDAY($A292),"Domingo","Segunda-feira","Terça-feira","Quarta-feira","Quinta-feira","Sexta-feira","Sábado"))</f>
        <v/>
      </c>
      <c r="D292" s="5" t="n"/>
      <c r="E292" s="6">
        <f>IFERROR(INDEX(Consolidado_Mensal!$B$2:$B$12,MATCH($B292,Consolidado_Mensal!$A$2:$A$12,0)),"")</f>
        <v/>
      </c>
      <c r="F292" s="7">
        <f>IF($E292="","",SUMIFS($D$2:$D292,$B$2:$B292,$B292)/$E292)</f>
        <v/>
      </c>
      <c r="G292" s="6">
        <f>IF($E292="","",MAX(0,$E292-SUMIFS($D$2:$D292,$B$2:$B292,$B292)))</f>
        <v/>
      </c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6">
        <f>IF($D292="","",IF(AND($D292=0,SUM($H292:$S292)=0),"OK",IF(SUM($H292:$S292)=0,"Sem detalhe",IF(AND(OR(SUM($H292:$I292)=$D292,SUM($H292:$I292)=0),OR(SUM($J292:$K292)=$D292,SUM($J292:$K292)=0),OR(SUM($L292:$S292)=$D292,SUM($L292:$S292)=0)),"OK","Verificar: "&amp;IF(AND(SUM($H292:$I292)&lt;&gt;$D292,SUM($H292:$I292)&lt;&gt;0),"perfil ","")&amp;IF(AND(SUM($J292:$K292)&lt;&gt;$D292,SUM($J292:$K292)&lt;&gt;0),"gênero ","")&amp;IF(AND(SUM($L292:$S292)&lt;&gt;$D292,SUM($L292:$S292)&lt;&gt;0),"professor","")))))</f>
        <v/>
      </c>
      <c r="U292" s="5" t="n"/>
    </row>
    <row r="293" ht="18" customHeight="1">
      <c r="A293" s="3" t="n">
        <v>46345</v>
      </c>
      <c r="B293" s="4">
        <f>IF($A293="","",CHOOSE(MONTH($A293),"Janeiro","Fevereiro","Março","Abril","Maio","Junho","Julho","Agosto","Setembro","Outubro","Novembro","Dezembro"))</f>
        <v/>
      </c>
      <c r="C293" s="4">
        <f>IF($A293="","",CHOOSE(WEEKDAY($A293),"Domingo","Segunda-feira","Terça-feira","Quarta-feira","Quinta-feira","Sexta-feira","Sábado"))</f>
        <v/>
      </c>
      <c r="D293" s="5" t="n"/>
      <c r="E293" s="6">
        <f>IFERROR(INDEX(Consolidado_Mensal!$B$2:$B$12,MATCH($B293,Consolidado_Mensal!$A$2:$A$12,0)),"")</f>
        <v/>
      </c>
      <c r="F293" s="7">
        <f>IF($E293="","",SUMIFS($D$2:$D293,$B$2:$B293,$B293)/$E293)</f>
        <v/>
      </c>
      <c r="G293" s="6">
        <f>IF($E293="","",MAX(0,$E293-SUMIFS($D$2:$D293,$B$2:$B293,$B293)))</f>
        <v/>
      </c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6">
        <f>IF($D293="","",IF(AND($D293=0,SUM($H293:$S293)=0),"OK",IF(SUM($H293:$S293)=0,"Sem detalhe",IF(AND(OR(SUM($H293:$I293)=$D293,SUM($H293:$I293)=0),OR(SUM($J293:$K293)=$D293,SUM($J293:$K293)=0),OR(SUM($L293:$S293)=$D293,SUM($L293:$S293)=0)),"OK","Verificar: "&amp;IF(AND(SUM($H293:$I293)&lt;&gt;$D293,SUM($H293:$I293)&lt;&gt;0),"perfil ","")&amp;IF(AND(SUM($J293:$K293)&lt;&gt;$D293,SUM($J293:$K293)&lt;&gt;0),"gênero ","")&amp;IF(AND(SUM($L293:$S293)&lt;&gt;$D293,SUM($L293:$S293)&lt;&gt;0),"professor","")))))</f>
        <v/>
      </c>
      <c r="U293" s="5" t="n"/>
    </row>
    <row r="294" ht="18" customHeight="1">
      <c r="A294" s="3" t="n">
        <v>46346</v>
      </c>
      <c r="B294" s="4">
        <f>IF($A294="","",CHOOSE(MONTH($A294),"Janeiro","Fevereiro","Março","Abril","Maio","Junho","Julho","Agosto","Setembro","Outubro","Novembro","Dezembro"))</f>
        <v/>
      </c>
      <c r="C294" s="4">
        <f>IF($A294="","",CHOOSE(WEEKDAY($A294),"Domingo","Segunda-feira","Terça-feira","Quarta-feira","Quinta-feira","Sexta-feira","Sábado"))</f>
        <v/>
      </c>
      <c r="D294" s="5" t="n"/>
      <c r="E294" s="6">
        <f>IFERROR(INDEX(Consolidado_Mensal!$B$2:$B$12,MATCH($B294,Consolidado_Mensal!$A$2:$A$12,0)),"")</f>
        <v/>
      </c>
      <c r="F294" s="7">
        <f>IF($E294="","",SUMIFS($D$2:$D294,$B$2:$B294,$B294)/$E294)</f>
        <v/>
      </c>
      <c r="G294" s="6">
        <f>IF($E294="","",MAX(0,$E294-SUMIFS($D$2:$D294,$B$2:$B294,$B294)))</f>
        <v/>
      </c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6">
        <f>IF($D294="","",IF(AND($D294=0,SUM($H294:$S294)=0),"OK",IF(SUM($H294:$S294)=0,"Sem detalhe",IF(AND(OR(SUM($H294:$I294)=$D294,SUM($H294:$I294)=0),OR(SUM($J294:$K294)=$D294,SUM($J294:$K294)=0),OR(SUM($L294:$S294)=$D294,SUM($L294:$S294)=0)),"OK","Verificar: "&amp;IF(AND(SUM($H294:$I294)&lt;&gt;$D294,SUM($H294:$I294)&lt;&gt;0),"perfil ","")&amp;IF(AND(SUM($J294:$K294)&lt;&gt;$D294,SUM($J294:$K294)&lt;&gt;0),"gênero ","")&amp;IF(AND(SUM($L294:$S294)&lt;&gt;$D294,SUM($L294:$S294)&lt;&gt;0),"professor","")))))</f>
        <v/>
      </c>
      <c r="U294" s="5" t="n"/>
    </row>
    <row r="295" ht="18" customHeight="1">
      <c r="A295" s="3" t="n">
        <v>46347</v>
      </c>
      <c r="B295" s="4">
        <f>IF($A295="","",CHOOSE(MONTH($A295),"Janeiro","Fevereiro","Março","Abril","Maio","Junho","Julho","Agosto","Setembro","Outubro","Novembro","Dezembro"))</f>
        <v/>
      </c>
      <c r="C295" s="4">
        <f>IF($A295="","",CHOOSE(WEEKDAY($A295),"Domingo","Segunda-feira","Terça-feira","Quarta-feira","Quinta-feira","Sexta-feira","Sábado"))</f>
        <v/>
      </c>
      <c r="D295" s="5" t="n"/>
      <c r="E295" s="6">
        <f>IFERROR(INDEX(Consolidado_Mensal!$B$2:$B$12,MATCH($B295,Consolidado_Mensal!$A$2:$A$12,0)),"")</f>
        <v/>
      </c>
      <c r="F295" s="7">
        <f>IF($E295="","",SUMIFS($D$2:$D295,$B$2:$B295,$B295)/$E295)</f>
        <v/>
      </c>
      <c r="G295" s="6">
        <f>IF($E295="","",MAX(0,$E295-SUMIFS($D$2:$D295,$B$2:$B295,$B295)))</f>
        <v/>
      </c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6">
        <f>IF($D295="","",IF(AND($D295=0,SUM($H295:$S295)=0),"OK",IF(SUM($H295:$S295)=0,"Sem detalhe",IF(AND(OR(SUM($H295:$I295)=$D295,SUM($H295:$I295)=0),OR(SUM($J295:$K295)=$D295,SUM($J295:$K295)=0),OR(SUM($L295:$S295)=$D295,SUM($L295:$S295)=0)),"OK","Verificar: "&amp;IF(AND(SUM($H295:$I295)&lt;&gt;$D295,SUM($H295:$I295)&lt;&gt;0),"perfil ","")&amp;IF(AND(SUM($J295:$K295)&lt;&gt;$D295,SUM($J295:$K295)&lt;&gt;0),"gênero ","")&amp;IF(AND(SUM($L295:$S295)&lt;&gt;$D295,SUM($L295:$S295)&lt;&gt;0),"professor","")))))</f>
        <v/>
      </c>
      <c r="U295" s="5" t="n"/>
    </row>
    <row r="296" ht="18" customHeight="1">
      <c r="A296" s="3" t="n">
        <v>46348</v>
      </c>
      <c r="B296" s="4">
        <f>IF($A296="","",CHOOSE(MONTH($A296),"Janeiro","Fevereiro","Março","Abril","Maio","Junho","Julho","Agosto","Setembro","Outubro","Novembro","Dezembro"))</f>
        <v/>
      </c>
      <c r="C296" s="4">
        <f>IF($A296="","",CHOOSE(WEEKDAY($A296),"Domingo","Segunda-feira","Terça-feira","Quarta-feira","Quinta-feira","Sexta-feira","Sábado"))</f>
        <v/>
      </c>
      <c r="D296" s="5" t="n"/>
      <c r="E296" s="6">
        <f>IFERROR(INDEX(Consolidado_Mensal!$B$2:$B$12,MATCH($B296,Consolidado_Mensal!$A$2:$A$12,0)),"")</f>
        <v/>
      </c>
      <c r="F296" s="7">
        <f>IF($E296="","",SUMIFS($D$2:$D296,$B$2:$B296,$B296)/$E296)</f>
        <v/>
      </c>
      <c r="G296" s="6">
        <f>IF($E296="","",MAX(0,$E296-SUMIFS($D$2:$D296,$B$2:$B296,$B296)))</f>
        <v/>
      </c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6">
        <f>IF($D296="","",IF(AND($D296=0,SUM($H296:$S296)=0),"OK",IF(SUM($H296:$S296)=0,"Sem detalhe",IF(AND(OR(SUM($H296:$I296)=$D296,SUM($H296:$I296)=0),OR(SUM($J296:$K296)=$D296,SUM($J296:$K296)=0),OR(SUM($L296:$S296)=$D296,SUM($L296:$S296)=0)),"OK","Verificar: "&amp;IF(AND(SUM($H296:$I296)&lt;&gt;$D296,SUM($H296:$I296)&lt;&gt;0),"perfil ","")&amp;IF(AND(SUM($J296:$K296)&lt;&gt;$D296,SUM($J296:$K296)&lt;&gt;0),"gênero ","")&amp;IF(AND(SUM($L296:$S296)&lt;&gt;$D296,SUM($L296:$S296)&lt;&gt;0),"professor","")))))</f>
        <v/>
      </c>
      <c r="U296" s="5" t="n"/>
    </row>
    <row r="297" ht="18" customHeight="1">
      <c r="A297" s="3" t="n">
        <v>46349</v>
      </c>
      <c r="B297" s="4">
        <f>IF($A297="","",CHOOSE(MONTH($A297),"Janeiro","Fevereiro","Março","Abril","Maio","Junho","Julho","Agosto","Setembro","Outubro","Novembro","Dezembro"))</f>
        <v/>
      </c>
      <c r="C297" s="4">
        <f>IF($A297="","",CHOOSE(WEEKDAY($A297),"Domingo","Segunda-feira","Terça-feira","Quarta-feira","Quinta-feira","Sexta-feira","Sábado"))</f>
        <v/>
      </c>
      <c r="D297" s="5" t="n"/>
      <c r="E297" s="6">
        <f>IFERROR(INDEX(Consolidado_Mensal!$B$2:$B$12,MATCH($B297,Consolidado_Mensal!$A$2:$A$12,0)),"")</f>
        <v/>
      </c>
      <c r="F297" s="7">
        <f>IF($E297="","",SUMIFS($D$2:$D297,$B$2:$B297,$B297)/$E297)</f>
        <v/>
      </c>
      <c r="G297" s="6">
        <f>IF($E297="","",MAX(0,$E297-SUMIFS($D$2:$D297,$B$2:$B297,$B297)))</f>
        <v/>
      </c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6">
        <f>IF($D297="","",IF(AND($D297=0,SUM($H297:$S297)=0),"OK",IF(SUM($H297:$S297)=0,"Sem detalhe",IF(AND(OR(SUM($H297:$I297)=$D297,SUM($H297:$I297)=0),OR(SUM($J297:$K297)=$D297,SUM($J297:$K297)=0),OR(SUM($L297:$S297)=$D297,SUM($L297:$S297)=0)),"OK","Verificar: "&amp;IF(AND(SUM($H297:$I297)&lt;&gt;$D297,SUM($H297:$I297)&lt;&gt;0),"perfil ","")&amp;IF(AND(SUM($J297:$K297)&lt;&gt;$D297,SUM($J297:$K297)&lt;&gt;0),"gênero ","")&amp;IF(AND(SUM($L297:$S297)&lt;&gt;$D297,SUM($L297:$S297)&lt;&gt;0),"professor","")))))</f>
        <v/>
      </c>
      <c r="U297" s="5" t="n"/>
    </row>
    <row r="298" ht="18" customHeight="1">
      <c r="A298" s="3" t="n">
        <v>46350</v>
      </c>
      <c r="B298" s="4">
        <f>IF($A298="","",CHOOSE(MONTH($A298),"Janeiro","Fevereiro","Março","Abril","Maio","Junho","Julho","Agosto","Setembro","Outubro","Novembro","Dezembro"))</f>
        <v/>
      </c>
      <c r="C298" s="4">
        <f>IF($A298="","",CHOOSE(WEEKDAY($A298),"Domingo","Segunda-feira","Terça-feira","Quarta-feira","Quinta-feira","Sexta-feira","Sábado"))</f>
        <v/>
      </c>
      <c r="D298" s="5" t="n"/>
      <c r="E298" s="6">
        <f>IFERROR(INDEX(Consolidado_Mensal!$B$2:$B$12,MATCH($B298,Consolidado_Mensal!$A$2:$A$12,0)),"")</f>
        <v/>
      </c>
      <c r="F298" s="7">
        <f>IF($E298="","",SUMIFS($D$2:$D298,$B$2:$B298,$B298)/$E298)</f>
        <v/>
      </c>
      <c r="G298" s="6">
        <f>IF($E298="","",MAX(0,$E298-SUMIFS($D$2:$D298,$B$2:$B298,$B298)))</f>
        <v/>
      </c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6">
        <f>IF($D298="","",IF(AND($D298=0,SUM($H298:$S298)=0),"OK",IF(SUM($H298:$S298)=0,"Sem detalhe",IF(AND(OR(SUM($H298:$I298)=$D298,SUM($H298:$I298)=0),OR(SUM($J298:$K298)=$D298,SUM($J298:$K298)=0),OR(SUM($L298:$S298)=$D298,SUM($L298:$S298)=0)),"OK","Verificar: "&amp;IF(AND(SUM($H298:$I298)&lt;&gt;$D298,SUM($H298:$I298)&lt;&gt;0),"perfil ","")&amp;IF(AND(SUM($J298:$K298)&lt;&gt;$D298,SUM($J298:$K298)&lt;&gt;0),"gênero ","")&amp;IF(AND(SUM($L298:$S298)&lt;&gt;$D298,SUM($L298:$S298)&lt;&gt;0),"professor","")))))</f>
        <v/>
      </c>
      <c r="U298" s="5" t="n"/>
    </row>
    <row r="299" ht="18" customHeight="1">
      <c r="A299" s="3" t="n">
        <v>46351</v>
      </c>
      <c r="B299" s="4">
        <f>IF($A299="","",CHOOSE(MONTH($A299),"Janeiro","Fevereiro","Março","Abril","Maio","Junho","Julho","Agosto","Setembro","Outubro","Novembro","Dezembro"))</f>
        <v/>
      </c>
      <c r="C299" s="4">
        <f>IF($A299="","",CHOOSE(WEEKDAY($A299),"Domingo","Segunda-feira","Terça-feira","Quarta-feira","Quinta-feira","Sexta-feira","Sábado"))</f>
        <v/>
      </c>
      <c r="D299" s="5" t="n"/>
      <c r="E299" s="6">
        <f>IFERROR(INDEX(Consolidado_Mensal!$B$2:$B$12,MATCH($B299,Consolidado_Mensal!$A$2:$A$12,0)),"")</f>
        <v/>
      </c>
      <c r="F299" s="7">
        <f>IF($E299="","",SUMIFS($D$2:$D299,$B$2:$B299,$B299)/$E299)</f>
        <v/>
      </c>
      <c r="G299" s="6">
        <f>IF($E299="","",MAX(0,$E299-SUMIFS($D$2:$D299,$B$2:$B299,$B299)))</f>
        <v/>
      </c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6">
        <f>IF($D299="","",IF(AND($D299=0,SUM($H299:$S299)=0),"OK",IF(SUM($H299:$S299)=0,"Sem detalhe",IF(AND(OR(SUM($H299:$I299)=$D299,SUM($H299:$I299)=0),OR(SUM($J299:$K299)=$D299,SUM($J299:$K299)=0),OR(SUM($L299:$S299)=$D299,SUM($L299:$S299)=0)),"OK","Verificar: "&amp;IF(AND(SUM($H299:$I299)&lt;&gt;$D299,SUM($H299:$I299)&lt;&gt;0),"perfil ","")&amp;IF(AND(SUM($J299:$K299)&lt;&gt;$D299,SUM($J299:$K299)&lt;&gt;0),"gênero ","")&amp;IF(AND(SUM($L299:$S299)&lt;&gt;$D299,SUM($L299:$S299)&lt;&gt;0),"professor","")))))</f>
        <v/>
      </c>
      <c r="U299" s="5" t="n"/>
    </row>
    <row r="300" ht="18" customHeight="1">
      <c r="A300" s="3" t="n">
        <v>46352</v>
      </c>
      <c r="B300" s="4">
        <f>IF($A300="","",CHOOSE(MONTH($A300),"Janeiro","Fevereiro","Março","Abril","Maio","Junho","Julho","Agosto","Setembro","Outubro","Novembro","Dezembro"))</f>
        <v/>
      </c>
      <c r="C300" s="4">
        <f>IF($A300="","",CHOOSE(WEEKDAY($A300),"Domingo","Segunda-feira","Terça-feira","Quarta-feira","Quinta-feira","Sexta-feira","Sábado"))</f>
        <v/>
      </c>
      <c r="D300" s="5" t="n"/>
      <c r="E300" s="6">
        <f>IFERROR(INDEX(Consolidado_Mensal!$B$2:$B$12,MATCH($B300,Consolidado_Mensal!$A$2:$A$12,0)),"")</f>
        <v/>
      </c>
      <c r="F300" s="7">
        <f>IF($E300="","",SUMIFS($D$2:$D300,$B$2:$B300,$B300)/$E300)</f>
        <v/>
      </c>
      <c r="G300" s="6">
        <f>IF($E300="","",MAX(0,$E300-SUMIFS($D$2:$D300,$B$2:$B300,$B300)))</f>
        <v/>
      </c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6">
        <f>IF($D300="","",IF(AND($D300=0,SUM($H300:$S300)=0),"OK",IF(SUM($H300:$S300)=0,"Sem detalhe",IF(AND(OR(SUM($H300:$I300)=$D300,SUM($H300:$I300)=0),OR(SUM($J300:$K300)=$D300,SUM($J300:$K300)=0),OR(SUM($L300:$S300)=$D300,SUM($L300:$S300)=0)),"OK","Verificar: "&amp;IF(AND(SUM($H300:$I300)&lt;&gt;$D300,SUM($H300:$I300)&lt;&gt;0),"perfil ","")&amp;IF(AND(SUM($J300:$K300)&lt;&gt;$D300,SUM($J300:$K300)&lt;&gt;0),"gênero ","")&amp;IF(AND(SUM($L300:$S300)&lt;&gt;$D300,SUM($L300:$S300)&lt;&gt;0),"professor","")))))</f>
        <v/>
      </c>
      <c r="U300" s="5" t="n"/>
    </row>
    <row r="301" ht="18" customHeight="1">
      <c r="A301" s="3" t="n">
        <v>46353</v>
      </c>
      <c r="B301" s="4">
        <f>IF($A301="","",CHOOSE(MONTH($A301),"Janeiro","Fevereiro","Março","Abril","Maio","Junho","Julho","Agosto","Setembro","Outubro","Novembro","Dezembro"))</f>
        <v/>
      </c>
      <c r="C301" s="4">
        <f>IF($A301="","",CHOOSE(WEEKDAY($A301),"Domingo","Segunda-feira","Terça-feira","Quarta-feira","Quinta-feira","Sexta-feira","Sábado"))</f>
        <v/>
      </c>
      <c r="D301" s="5" t="n"/>
      <c r="E301" s="6">
        <f>IFERROR(INDEX(Consolidado_Mensal!$B$2:$B$12,MATCH($B301,Consolidado_Mensal!$A$2:$A$12,0)),"")</f>
        <v/>
      </c>
      <c r="F301" s="7">
        <f>IF($E301="","",SUMIFS($D$2:$D301,$B$2:$B301,$B301)/$E301)</f>
        <v/>
      </c>
      <c r="G301" s="6">
        <f>IF($E301="","",MAX(0,$E301-SUMIFS($D$2:$D301,$B$2:$B301,$B301)))</f>
        <v/>
      </c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6">
        <f>IF($D301="","",IF(AND($D301=0,SUM($H301:$S301)=0),"OK",IF(SUM($H301:$S301)=0,"Sem detalhe",IF(AND(OR(SUM($H301:$I301)=$D301,SUM($H301:$I301)=0),OR(SUM($J301:$K301)=$D301,SUM($J301:$K301)=0),OR(SUM($L301:$S301)=$D301,SUM($L301:$S301)=0)),"OK","Verificar: "&amp;IF(AND(SUM($H301:$I301)&lt;&gt;$D301,SUM($H301:$I301)&lt;&gt;0),"perfil ","")&amp;IF(AND(SUM($J301:$K301)&lt;&gt;$D301,SUM($J301:$K301)&lt;&gt;0),"gênero ","")&amp;IF(AND(SUM($L301:$S301)&lt;&gt;$D301,SUM($L301:$S301)&lt;&gt;0),"professor","")))))</f>
        <v/>
      </c>
      <c r="U301" s="5" t="n"/>
    </row>
    <row r="302" ht="18" customHeight="1">
      <c r="A302" s="3" t="n">
        <v>46354</v>
      </c>
      <c r="B302" s="4">
        <f>IF($A302="","",CHOOSE(MONTH($A302),"Janeiro","Fevereiro","Março","Abril","Maio","Junho","Julho","Agosto","Setembro","Outubro","Novembro","Dezembro"))</f>
        <v/>
      </c>
      <c r="C302" s="4">
        <f>IF($A302="","",CHOOSE(WEEKDAY($A302),"Domingo","Segunda-feira","Terça-feira","Quarta-feira","Quinta-feira","Sexta-feira","Sábado"))</f>
        <v/>
      </c>
      <c r="D302" s="5" t="n"/>
      <c r="E302" s="6">
        <f>IFERROR(INDEX(Consolidado_Mensal!$B$2:$B$12,MATCH($B302,Consolidado_Mensal!$A$2:$A$12,0)),"")</f>
        <v/>
      </c>
      <c r="F302" s="7">
        <f>IF($E302="","",SUMIFS($D$2:$D302,$B$2:$B302,$B302)/$E302)</f>
        <v/>
      </c>
      <c r="G302" s="6">
        <f>IF($E302="","",MAX(0,$E302-SUMIFS($D$2:$D302,$B$2:$B302,$B302)))</f>
        <v/>
      </c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6">
        <f>IF($D302="","",IF(AND($D302=0,SUM($H302:$S302)=0),"OK",IF(SUM($H302:$S302)=0,"Sem detalhe",IF(AND(OR(SUM($H302:$I302)=$D302,SUM($H302:$I302)=0),OR(SUM($J302:$K302)=$D302,SUM($J302:$K302)=0),OR(SUM($L302:$S302)=$D302,SUM($L302:$S302)=0)),"OK","Verificar: "&amp;IF(AND(SUM($H302:$I302)&lt;&gt;$D302,SUM($H302:$I302)&lt;&gt;0),"perfil ","")&amp;IF(AND(SUM($J302:$K302)&lt;&gt;$D302,SUM($J302:$K302)&lt;&gt;0),"gênero ","")&amp;IF(AND(SUM($L302:$S302)&lt;&gt;$D302,SUM($L302:$S302)&lt;&gt;0),"professor","")))))</f>
        <v/>
      </c>
      <c r="U302" s="5" t="n"/>
    </row>
    <row r="303" ht="18" customHeight="1">
      <c r="A303" s="3" t="n">
        <v>46355</v>
      </c>
      <c r="B303" s="4">
        <f>IF($A303="","",CHOOSE(MONTH($A303),"Janeiro","Fevereiro","Março","Abril","Maio","Junho","Julho","Agosto","Setembro","Outubro","Novembro","Dezembro"))</f>
        <v/>
      </c>
      <c r="C303" s="4">
        <f>IF($A303="","",CHOOSE(WEEKDAY($A303),"Domingo","Segunda-feira","Terça-feira","Quarta-feira","Quinta-feira","Sexta-feira","Sábado"))</f>
        <v/>
      </c>
      <c r="D303" s="5" t="n"/>
      <c r="E303" s="6">
        <f>IFERROR(INDEX(Consolidado_Mensal!$B$2:$B$12,MATCH($B303,Consolidado_Mensal!$A$2:$A$12,0)),"")</f>
        <v/>
      </c>
      <c r="F303" s="7">
        <f>IF($E303="","",SUMIFS($D$2:$D303,$B$2:$B303,$B303)/$E303)</f>
        <v/>
      </c>
      <c r="G303" s="6">
        <f>IF($E303="","",MAX(0,$E303-SUMIFS($D$2:$D303,$B$2:$B303,$B303)))</f>
        <v/>
      </c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6">
        <f>IF($D303="","",IF(AND($D303=0,SUM($H303:$S303)=0),"OK",IF(SUM($H303:$S303)=0,"Sem detalhe",IF(AND(OR(SUM($H303:$I303)=$D303,SUM($H303:$I303)=0),OR(SUM($J303:$K303)=$D303,SUM($J303:$K303)=0),OR(SUM($L303:$S303)=$D303,SUM($L303:$S303)=0)),"OK","Verificar: "&amp;IF(AND(SUM($H303:$I303)&lt;&gt;$D303,SUM($H303:$I303)&lt;&gt;0),"perfil ","")&amp;IF(AND(SUM($J303:$K303)&lt;&gt;$D303,SUM($J303:$K303)&lt;&gt;0),"gênero ","")&amp;IF(AND(SUM($L303:$S303)&lt;&gt;$D303,SUM($L303:$S303)&lt;&gt;0),"professor","")))))</f>
        <v/>
      </c>
      <c r="U303" s="5" t="n"/>
    </row>
    <row r="304" ht="18" customHeight="1">
      <c r="A304" s="3" t="n">
        <v>46356</v>
      </c>
      <c r="B304" s="4">
        <f>IF($A304="","",CHOOSE(MONTH($A304),"Janeiro","Fevereiro","Março","Abril","Maio","Junho","Julho","Agosto","Setembro","Outubro","Novembro","Dezembro"))</f>
        <v/>
      </c>
      <c r="C304" s="4">
        <f>IF($A304="","",CHOOSE(WEEKDAY($A304),"Domingo","Segunda-feira","Terça-feira","Quarta-feira","Quinta-feira","Sexta-feira","Sábado"))</f>
        <v/>
      </c>
      <c r="D304" s="5" t="n"/>
      <c r="E304" s="6">
        <f>IFERROR(INDEX(Consolidado_Mensal!$B$2:$B$12,MATCH($B304,Consolidado_Mensal!$A$2:$A$12,0)),"")</f>
        <v/>
      </c>
      <c r="F304" s="7">
        <f>IF($E304="","",SUMIFS($D$2:$D304,$B$2:$B304,$B304)/$E304)</f>
        <v/>
      </c>
      <c r="G304" s="6">
        <f>IF($E304="","",MAX(0,$E304-SUMIFS($D$2:$D304,$B$2:$B304,$B304)))</f>
        <v/>
      </c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6">
        <f>IF($D304="","",IF(AND($D304=0,SUM($H304:$S304)=0),"OK",IF(SUM($H304:$S304)=0,"Sem detalhe",IF(AND(OR(SUM($H304:$I304)=$D304,SUM($H304:$I304)=0),OR(SUM($J304:$K304)=$D304,SUM($J304:$K304)=0),OR(SUM($L304:$S304)=$D304,SUM($L304:$S304)=0)),"OK","Verificar: "&amp;IF(AND(SUM($H304:$I304)&lt;&gt;$D304,SUM($H304:$I304)&lt;&gt;0),"perfil ","")&amp;IF(AND(SUM($J304:$K304)&lt;&gt;$D304,SUM($J304:$K304)&lt;&gt;0),"gênero ","")&amp;IF(AND(SUM($L304:$S304)&lt;&gt;$D304,SUM($L304:$S304)&lt;&gt;0),"professor","")))))</f>
        <v/>
      </c>
      <c r="U304" s="5" t="n"/>
    </row>
    <row r="305" ht="18" customHeight="1">
      <c r="A305" s="3" t="n">
        <v>46357</v>
      </c>
      <c r="B305" s="4">
        <f>IF($A305="","",CHOOSE(MONTH($A305),"Janeiro","Fevereiro","Março","Abril","Maio","Junho","Julho","Agosto","Setembro","Outubro","Novembro","Dezembro"))</f>
        <v/>
      </c>
      <c r="C305" s="4">
        <f>IF($A305="","",CHOOSE(WEEKDAY($A305),"Domingo","Segunda-feira","Terça-feira","Quarta-feira","Quinta-feira","Sexta-feira","Sábado"))</f>
        <v/>
      </c>
      <c r="D305" s="5" t="n"/>
      <c r="E305" s="6">
        <f>IFERROR(INDEX(Consolidado_Mensal!$B$2:$B$12,MATCH($B305,Consolidado_Mensal!$A$2:$A$12,0)),"")</f>
        <v/>
      </c>
      <c r="F305" s="7">
        <f>IF($E305="","",SUMIFS($D$2:$D305,$B$2:$B305,$B305)/$E305)</f>
        <v/>
      </c>
      <c r="G305" s="6">
        <f>IF($E305="","",MAX(0,$E305-SUMIFS($D$2:$D305,$B$2:$B305,$B305)))</f>
        <v/>
      </c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6">
        <f>IF($D305="","",IF(AND($D305=0,SUM($H305:$S305)=0),"OK",IF(SUM($H305:$S305)=0,"Sem detalhe",IF(AND(OR(SUM($H305:$I305)=$D305,SUM($H305:$I305)=0),OR(SUM($J305:$K305)=$D305,SUM($J305:$K305)=0),OR(SUM($L305:$S305)=$D305,SUM($L305:$S305)=0)),"OK","Verificar: "&amp;IF(AND(SUM($H305:$I305)&lt;&gt;$D305,SUM($H305:$I305)&lt;&gt;0),"perfil ","")&amp;IF(AND(SUM($J305:$K305)&lt;&gt;$D305,SUM($J305:$K305)&lt;&gt;0),"gênero ","")&amp;IF(AND(SUM($L305:$S305)&lt;&gt;$D305,SUM($L305:$S305)&lt;&gt;0),"professor","")))))</f>
        <v/>
      </c>
      <c r="U305" s="5" t="n"/>
    </row>
    <row r="306" ht="18" customHeight="1">
      <c r="A306" s="3" t="n">
        <v>46358</v>
      </c>
      <c r="B306" s="4">
        <f>IF($A306="","",CHOOSE(MONTH($A306),"Janeiro","Fevereiro","Março","Abril","Maio","Junho","Julho","Agosto","Setembro","Outubro","Novembro","Dezembro"))</f>
        <v/>
      </c>
      <c r="C306" s="4">
        <f>IF($A306="","",CHOOSE(WEEKDAY($A306),"Domingo","Segunda-feira","Terça-feira","Quarta-feira","Quinta-feira","Sexta-feira","Sábado"))</f>
        <v/>
      </c>
      <c r="D306" s="5" t="n"/>
      <c r="E306" s="6">
        <f>IFERROR(INDEX(Consolidado_Mensal!$B$2:$B$12,MATCH($B306,Consolidado_Mensal!$A$2:$A$12,0)),"")</f>
        <v/>
      </c>
      <c r="F306" s="7">
        <f>IF($E306="","",SUMIFS($D$2:$D306,$B$2:$B306,$B306)/$E306)</f>
        <v/>
      </c>
      <c r="G306" s="6">
        <f>IF($E306="","",MAX(0,$E306-SUMIFS($D$2:$D306,$B$2:$B306,$B306)))</f>
        <v/>
      </c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6">
        <f>IF($D306="","",IF(AND($D306=0,SUM($H306:$S306)=0),"OK",IF(SUM($H306:$S306)=0,"Sem detalhe",IF(AND(OR(SUM($H306:$I306)=$D306,SUM($H306:$I306)=0),OR(SUM($J306:$K306)=$D306,SUM($J306:$K306)=0),OR(SUM($L306:$S306)=$D306,SUM($L306:$S306)=0)),"OK","Verificar: "&amp;IF(AND(SUM($H306:$I306)&lt;&gt;$D306,SUM($H306:$I306)&lt;&gt;0),"perfil ","")&amp;IF(AND(SUM($J306:$K306)&lt;&gt;$D306,SUM($J306:$K306)&lt;&gt;0),"gênero ","")&amp;IF(AND(SUM($L306:$S306)&lt;&gt;$D306,SUM($L306:$S306)&lt;&gt;0),"professor","")))))</f>
        <v/>
      </c>
      <c r="U306" s="5" t="n"/>
    </row>
    <row r="307" ht="18" customHeight="1">
      <c r="A307" s="3" t="n">
        <v>46359</v>
      </c>
      <c r="B307" s="4">
        <f>IF($A307="","",CHOOSE(MONTH($A307),"Janeiro","Fevereiro","Março","Abril","Maio","Junho","Julho","Agosto","Setembro","Outubro","Novembro","Dezembro"))</f>
        <v/>
      </c>
      <c r="C307" s="4">
        <f>IF($A307="","",CHOOSE(WEEKDAY($A307),"Domingo","Segunda-feira","Terça-feira","Quarta-feira","Quinta-feira","Sexta-feira","Sábado"))</f>
        <v/>
      </c>
      <c r="D307" s="5" t="n"/>
      <c r="E307" s="6">
        <f>IFERROR(INDEX(Consolidado_Mensal!$B$2:$B$12,MATCH($B307,Consolidado_Mensal!$A$2:$A$12,0)),"")</f>
        <v/>
      </c>
      <c r="F307" s="7">
        <f>IF($E307="","",SUMIFS($D$2:$D307,$B$2:$B307,$B307)/$E307)</f>
        <v/>
      </c>
      <c r="G307" s="6">
        <f>IF($E307="","",MAX(0,$E307-SUMIFS($D$2:$D307,$B$2:$B307,$B307)))</f>
        <v/>
      </c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6">
        <f>IF($D307="","",IF(AND($D307=0,SUM($H307:$S307)=0),"OK",IF(SUM($H307:$S307)=0,"Sem detalhe",IF(AND(OR(SUM($H307:$I307)=$D307,SUM($H307:$I307)=0),OR(SUM($J307:$K307)=$D307,SUM($J307:$K307)=0),OR(SUM($L307:$S307)=$D307,SUM($L307:$S307)=0)),"OK","Verificar: "&amp;IF(AND(SUM($H307:$I307)&lt;&gt;$D307,SUM($H307:$I307)&lt;&gt;0),"perfil ","")&amp;IF(AND(SUM($J307:$K307)&lt;&gt;$D307,SUM($J307:$K307)&lt;&gt;0),"gênero ","")&amp;IF(AND(SUM($L307:$S307)&lt;&gt;$D307,SUM($L307:$S307)&lt;&gt;0),"professor","")))))</f>
        <v/>
      </c>
      <c r="U307" s="5" t="n"/>
    </row>
    <row r="308" ht="18" customHeight="1">
      <c r="A308" s="3" t="n">
        <v>46360</v>
      </c>
      <c r="B308" s="4">
        <f>IF($A308="","",CHOOSE(MONTH($A308),"Janeiro","Fevereiro","Março","Abril","Maio","Junho","Julho","Agosto","Setembro","Outubro","Novembro","Dezembro"))</f>
        <v/>
      </c>
      <c r="C308" s="4">
        <f>IF($A308="","",CHOOSE(WEEKDAY($A308),"Domingo","Segunda-feira","Terça-feira","Quarta-feira","Quinta-feira","Sexta-feira","Sábado"))</f>
        <v/>
      </c>
      <c r="D308" s="5" t="n"/>
      <c r="E308" s="6">
        <f>IFERROR(INDEX(Consolidado_Mensal!$B$2:$B$12,MATCH($B308,Consolidado_Mensal!$A$2:$A$12,0)),"")</f>
        <v/>
      </c>
      <c r="F308" s="7">
        <f>IF($E308="","",SUMIFS($D$2:$D308,$B$2:$B308,$B308)/$E308)</f>
        <v/>
      </c>
      <c r="G308" s="6">
        <f>IF($E308="","",MAX(0,$E308-SUMIFS($D$2:$D308,$B$2:$B308,$B308)))</f>
        <v/>
      </c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6">
        <f>IF($D308="","",IF(AND($D308=0,SUM($H308:$S308)=0),"OK",IF(SUM($H308:$S308)=0,"Sem detalhe",IF(AND(OR(SUM($H308:$I308)=$D308,SUM($H308:$I308)=0),OR(SUM($J308:$K308)=$D308,SUM($J308:$K308)=0),OR(SUM($L308:$S308)=$D308,SUM($L308:$S308)=0)),"OK","Verificar: "&amp;IF(AND(SUM($H308:$I308)&lt;&gt;$D308,SUM($H308:$I308)&lt;&gt;0),"perfil ","")&amp;IF(AND(SUM($J308:$K308)&lt;&gt;$D308,SUM($J308:$K308)&lt;&gt;0),"gênero ","")&amp;IF(AND(SUM($L308:$S308)&lt;&gt;$D308,SUM($L308:$S308)&lt;&gt;0),"professor","")))))</f>
        <v/>
      </c>
      <c r="U308" s="5" t="n"/>
    </row>
    <row r="309" ht="18" customHeight="1">
      <c r="A309" s="3" t="n">
        <v>46361</v>
      </c>
      <c r="B309" s="4">
        <f>IF($A309="","",CHOOSE(MONTH($A309),"Janeiro","Fevereiro","Março","Abril","Maio","Junho","Julho","Agosto","Setembro","Outubro","Novembro","Dezembro"))</f>
        <v/>
      </c>
      <c r="C309" s="4">
        <f>IF($A309="","",CHOOSE(WEEKDAY($A309),"Domingo","Segunda-feira","Terça-feira","Quarta-feira","Quinta-feira","Sexta-feira","Sábado"))</f>
        <v/>
      </c>
      <c r="D309" s="5" t="n"/>
      <c r="E309" s="6">
        <f>IFERROR(INDEX(Consolidado_Mensal!$B$2:$B$12,MATCH($B309,Consolidado_Mensal!$A$2:$A$12,0)),"")</f>
        <v/>
      </c>
      <c r="F309" s="7">
        <f>IF($E309="","",SUMIFS($D$2:$D309,$B$2:$B309,$B309)/$E309)</f>
        <v/>
      </c>
      <c r="G309" s="6">
        <f>IF($E309="","",MAX(0,$E309-SUMIFS($D$2:$D309,$B$2:$B309,$B309)))</f>
        <v/>
      </c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6">
        <f>IF($D309="","",IF(AND($D309=0,SUM($H309:$S309)=0),"OK",IF(SUM($H309:$S309)=0,"Sem detalhe",IF(AND(OR(SUM($H309:$I309)=$D309,SUM($H309:$I309)=0),OR(SUM($J309:$K309)=$D309,SUM($J309:$K309)=0),OR(SUM($L309:$S309)=$D309,SUM($L309:$S309)=0)),"OK","Verificar: "&amp;IF(AND(SUM($H309:$I309)&lt;&gt;$D309,SUM($H309:$I309)&lt;&gt;0),"perfil ","")&amp;IF(AND(SUM($J309:$K309)&lt;&gt;$D309,SUM($J309:$K309)&lt;&gt;0),"gênero ","")&amp;IF(AND(SUM($L309:$S309)&lt;&gt;$D309,SUM($L309:$S309)&lt;&gt;0),"professor","")))))</f>
        <v/>
      </c>
      <c r="U309" s="5" t="n"/>
    </row>
    <row r="310" ht="18" customHeight="1">
      <c r="A310" s="3" t="n">
        <v>46362</v>
      </c>
      <c r="B310" s="4">
        <f>IF($A310="","",CHOOSE(MONTH($A310),"Janeiro","Fevereiro","Março","Abril","Maio","Junho","Julho","Agosto","Setembro","Outubro","Novembro","Dezembro"))</f>
        <v/>
      </c>
      <c r="C310" s="4">
        <f>IF($A310="","",CHOOSE(WEEKDAY($A310),"Domingo","Segunda-feira","Terça-feira","Quarta-feira","Quinta-feira","Sexta-feira","Sábado"))</f>
        <v/>
      </c>
      <c r="D310" s="5" t="n"/>
      <c r="E310" s="6">
        <f>IFERROR(INDEX(Consolidado_Mensal!$B$2:$B$12,MATCH($B310,Consolidado_Mensal!$A$2:$A$12,0)),"")</f>
        <v/>
      </c>
      <c r="F310" s="7">
        <f>IF($E310="","",SUMIFS($D$2:$D310,$B$2:$B310,$B310)/$E310)</f>
        <v/>
      </c>
      <c r="G310" s="6">
        <f>IF($E310="","",MAX(0,$E310-SUMIFS($D$2:$D310,$B$2:$B310,$B310)))</f>
        <v/>
      </c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6">
        <f>IF($D310="","",IF(AND($D310=0,SUM($H310:$S310)=0),"OK",IF(SUM($H310:$S310)=0,"Sem detalhe",IF(AND(OR(SUM($H310:$I310)=$D310,SUM($H310:$I310)=0),OR(SUM($J310:$K310)=$D310,SUM($J310:$K310)=0),OR(SUM($L310:$S310)=$D310,SUM($L310:$S310)=0)),"OK","Verificar: "&amp;IF(AND(SUM($H310:$I310)&lt;&gt;$D310,SUM($H310:$I310)&lt;&gt;0),"perfil ","")&amp;IF(AND(SUM($J310:$K310)&lt;&gt;$D310,SUM($J310:$K310)&lt;&gt;0),"gênero ","")&amp;IF(AND(SUM($L310:$S310)&lt;&gt;$D310,SUM($L310:$S310)&lt;&gt;0),"professor","")))))</f>
        <v/>
      </c>
      <c r="U310" s="5" t="n"/>
    </row>
    <row r="311" ht="18" customHeight="1">
      <c r="A311" s="3" t="n">
        <v>46363</v>
      </c>
      <c r="B311" s="4">
        <f>IF($A311="","",CHOOSE(MONTH($A311),"Janeiro","Fevereiro","Março","Abril","Maio","Junho","Julho","Agosto","Setembro","Outubro","Novembro","Dezembro"))</f>
        <v/>
      </c>
      <c r="C311" s="4">
        <f>IF($A311="","",CHOOSE(WEEKDAY($A311),"Domingo","Segunda-feira","Terça-feira","Quarta-feira","Quinta-feira","Sexta-feira","Sábado"))</f>
        <v/>
      </c>
      <c r="D311" s="5" t="n"/>
      <c r="E311" s="6">
        <f>IFERROR(INDEX(Consolidado_Mensal!$B$2:$B$12,MATCH($B311,Consolidado_Mensal!$A$2:$A$12,0)),"")</f>
        <v/>
      </c>
      <c r="F311" s="7">
        <f>IF($E311="","",SUMIFS($D$2:$D311,$B$2:$B311,$B311)/$E311)</f>
        <v/>
      </c>
      <c r="G311" s="6">
        <f>IF($E311="","",MAX(0,$E311-SUMIFS($D$2:$D311,$B$2:$B311,$B311)))</f>
        <v/>
      </c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6">
        <f>IF($D311="","",IF(AND($D311=0,SUM($H311:$S311)=0),"OK",IF(SUM($H311:$S311)=0,"Sem detalhe",IF(AND(OR(SUM($H311:$I311)=$D311,SUM($H311:$I311)=0),OR(SUM($J311:$K311)=$D311,SUM($J311:$K311)=0),OR(SUM($L311:$S311)=$D311,SUM($L311:$S311)=0)),"OK","Verificar: "&amp;IF(AND(SUM($H311:$I311)&lt;&gt;$D311,SUM($H311:$I311)&lt;&gt;0),"perfil ","")&amp;IF(AND(SUM($J311:$K311)&lt;&gt;$D311,SUM($J311:$K311)&lt;&gt;0),"gênero ","")&amp;IF(AND(SUM($L311:$S311)&lt;&gt;$D311,SUM($L311:$S311)&lt;&gt;0),"professor","")))))</f>
        <v/>
      </c>
      <c r="U311" s="5" t="n"/>
    </row>
    <row r="312" ht="18" customHeight="1">
      <c r="A312" s="3" t="n">
        <v>46364</v>
      </c>
      <c r="B312" s="4">
        <f>IF($A312="","",CHOOSE(MONTH($A312),"Janeiro","Fevereiro","Março","Abril","Maio","Junho","Julho","Agosto","Setembro","Outubro","Novembro","Dezembro"))</f>
        <v/>
      </c>
      <c r="C312" s="4">
        <f>IF($A312="","",CHOOSE(WEEKDAY($A312),"Domingo","Segunda-feira","Terça-feira","Quarta-feira","Quinta-feira","Sexta-feira","Sábado"))</f>
        <v/>
      </c>
      <c r="D312" s="5" t="n"/>
      <c r="E312" s="6">
        <f>IFERROR(INDEX(Consolidado_Mensal!$B$2:$B$12,MATCH($B312,Consolidado_Mensal!$A$2:$A$12,0)),"")</f>
        <v/>
      </c>
      <c r="F312" s="7">
        <f>IF($E312="","",SUMIFS($D$2:$D312,$B$2:$B312,$B312)/$E312)</f>
        <v/>
      </c>
      <c r="G312" s="6">
        <f>IF($E312="","",MAX(0,$E312-SUMIFS($D$2:$D312,$B$2:$B312,$B312)))</f>
        <v/>
      </c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6">
        <f>IF($D312="","",IF(AND($D312=0,SUM($H312:$S312)=0),"OK",IF(SUM($H312:$S312)=0,"Sem detalhe",IF(AND(OR(SUM($H312:$I312)=$D312,SUM($H312:$I312)=0),OR(SUM($J312:$K312)=$D312,SUM($J312:$K312)=0),OR(SUM($L312:$S312)=$D312,SUM($L312:$S312)=0)),"OK","Verificar: "&amp;IF(AND(SUM($H312:$I312)&lt;&gt;$D312,SUM($H312:$I312)&lt;&gt;0),"perfil ","")&amp;IF(AND(SUM($J312:$K312)&lt;&gt;$D312,SUM($J312:$K312)&lt;&gt;0),"gênero ","")&amp;IF(AND(SUM($L312:$S312)&lt;&gt;$D312,SUM($L312:$S312)&lt;&gt;0),"professor","")))))</f>
        <v/>
      </c>
      <c r="U312" s="5" t="n"/>
    </row>
    <row r="313" ht="18" customHeight="1">
      <c r="A313" s="3" t="n">
        <v>46365</v>
      </c>
      <c r="B313" s="4">
        <f>IF($A313="","",CHOOSE(MONTH($A313),"Janeiro","Fevereiro","Março","Abril","Maio","Junho","Julho","Agosto","Setembro","Outubro","Novembro","Dezembro"))</f>
        <v/>
      </c>
      <c r="C313" s="4">
        <f>IF($A313="","",CHOOSE(WEEKDAY($A313),"Domingo","Segunda-feira","Terça-feira","Quarta-feira","Quinta-feira","Sexta-feira","Sábado"))</f>
        <v/>
      </c>
      <c r="D313" s="5" t="n"/>
      <c r="E313" s="6">
        <f>IFERROR(INDEX(Consolidado_Mensal!$B$2:$B$12,MATCH($B313,Consolidado_Mensal!$A$2:$A$12,0)),"")</f>
        <v/>
      </c>
      <c r="F313" s="7">
        <f>IF($E313="","",SUMIFS($D$2:$D313,$B$2:$B313,$B313)/$E313)</f>
        <v/>
      </c>
      <c r="G313" s="6">
        <f>IF($E313="","",MAX(0,$E313-SUMIFS($D$2:$D313,$B$2:$B313,$B313)))</f>
        <v/>
      </c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6">
        <f>IF($D313="","",IF(AND($D313=0,SUM($H313:$S313)=0),"OK",IF(SUM($H313:$S313)=0,"Sem detalhe",IF(AND(OR(SUM($H313:$I313)=$D313,SUM($H313:$I313)=0),OR(SUM($J313:$K313)=$D313,SUM($J313:$K313)=0),OR(SUM($L313:$S313)=$D313,SUM($L313:$S313)=0)),"OK","Verificar: "&amp;IF(AND(SUM($H313:$I313)&lt;&gt;$D313,SUM($H313:$I313)&lt;&gt;0),"perfil ","")&amp;IF(AND(SUM($J313:$K313)&lt;&gt;$D313,SUM($J313:$K313)&lt;&gt;0),"gênero ","")&amp;IF(AND(SUM($L313:$S313)&lt;&gt;$D313,SUM($L313:$S313)&lt;&gt;0),"professor","")))))</f>
        <v/>
      </c>
      <c r="U313" s="5" t="n"/>
    </row>
    <row r="314" ht="18" customHeight="1">
      <c r="A314" s="3" t="n">
        <v>46366</v>
      </c>
      <c r="B314" s="4">
        <f>IF($A314="","",CHOOSE(MONTH($A314),"Janeiro","Fevereiro","Março","Abril","Maio","Junho","Julho","Agosto","Setembro","Outubro","Novembro","Dezembro"))</f>
        <v/>
      </c>
      <c r="C314" s="4">
        <f>IF($A314="","",CHOOSE(WEEKDAY($A314),"Domingo","Segunda-feira","Terça-feira","Quarta-feira","Quinta-feira","Sexta-feira","Sábado"))</f>
        <v/>
      </c>
      <c r="D314" s="5" t="n"/>
      <c r="E314" s="6">
        <f>IFERROR(INDEX(Consolidado_Mensal!$B$2:$B$12,MATCH($B314,Consolidado_Mensal!$A$2:$A$12,0)),"")</f>
        <v/>
      </c>
      <c r="F314" s="7">
        <f>IF($E314="","",SUMIFS($D$2:$D314,$B$2:$B314,$B314)/$E314)</f>
        <v/>
      </c>
      <c r="G314" s="6">
        <f>IF($E314="","",MAX(0,$E314-SUMIFS($D$2:$D314,$B$2:$B314,$B314)))</f>
        <v/>
      </c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6">
        <f>IF($D314="","",IF(AND($D314=0,SUM($H314:$S314)=0),"OK",IF(SUM($H314:$S314)=0,"Sem detalhe",IF(AND(OR(SUM($H314:$I314)=$D314,SUM($H314:$I314)=0),OR(SUM($J314:$K314)=$D314,SUM($J314:$K314)=0),OR(SUM($L314:$S314)=$D314,SUM($L314:$S314)=0)),"OK","Verificar: "&amp;IF(AND(SUM($H314:$I314)&lt;&gt;$D314,SUM($H314:$I314)&lt;&gt;0),"perfil ","")&amp;IF(AND(SUM($J314:$K314)&lt;&gt;$D314,SUM($J314:$K314)&lt;&gt;0),"gênero ","")&amp;IF(AND(SUM($L314:$S314)&lt;&gt;$D314,SUM($L314:$S314)&lt;&gt;0),"professor","")))))</f>
        <v/>
      </c>
      <c r="U314" s="5" t="n"/>
    </row>
    <row r="315" ht="18" customHeight="1">
      <c r="A315" s="3" t="n">
        <v>46367</v>
      </c>
      <c r="B315" s="4">
        <f>IF($A315="","",CHOOSE(MONTH($A315),"Janeiro","Fevereiro","Março","Abril","Maio","Junho","Julho","Agosto","Setembro","Outubro","Novembro","Dezembro"))</f>
        <v/>
      </c>
      <c r="C315" s="4">
        <f>IF($A315="","",CHOOSE(WEEKDAY($A315),"Domingo","Segunda-feira","Terça-feira","Quarta-feira","Quinta-feira","Sexta-feira","Sábado"))</f>
        <v/>
      </c>
      <c r="D315" s="5" t="n"/>
      <c r="E315" s="6">
        <f>IFERROR(INDEX(Consolidado_Mensal!$B$2:$B$12,MATCH($B315,Consolidado_Mensal!$A$2:$A$12,0)),"")</f>
        <v/>
      </c>
      <c r="F315" s="7">
        <f>IF($E315="","",SUMIFS($D$2:$D315,$B$2:$B315,$B315)/$E315)</f>
        <v/>
      </c>
      <c r="G315" s="6">
        <f>IF($E315="","",MAX(0,$E315-SUMIFS($D$2:$D315,$B$2:$B315,$B315)))</f>
        <v/>
      </c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6">
        <f>IF($D315="","",IF(AND($D315=0,SUM($H315:$S315)=0),"OK",IF(SUM($H315:$S315)=0,"Sem detalhe",IF(AND(OR(SUM($H315:$I315)=$D315,SUM($H315:$I315)=0),OR(SUM($J315:$K315)=$D315,SUM($J315:$K315)=0),OR(SUM($L315:$S315)=$D315,SUM($L315:$S315)=0)),"OK","Verificar: "&amp;IF(AND(SUM($H315:$I315)&lt;&gt;$D315,SUM($H315:$I315)&lt;&gt;0),"perfil ","")&amp;IF(AND(SUM($J315:$K315)&lt;&gt;$D315,SUM($J315:$K315)&lt;&gt;0),"gênero ","")&amp;IF(AND(SUM($L315:$S315)&lt;&gt;$D315,SUM($L315:$S315)&lt;&gt;0),"professor","")))))</f>
        <v/>
      </c>
      <c r="U315" s="5" t="n"/>
    </row>
    <row r="316" ht="18" customHeight="1">
      <c r="A316" s="3" t="n">
        <v>46368</v>
      </c>
      <c r="B316" s="4">
        <f>IF($A316="","",CHOOSE(MONTH($A316),"Janeiro","Fevereiro","Março","Abril","Maio","Junho","Julho","Agosto","Setembro","Outubro","Novembro","Dezembro"))</f>
        <v/>
      </c>
      <c r="C316" s="4">
        <f>IF($A316="","",CHOOSE(WEEKDAY($A316),"Domingo","Segunda-feira","Terça-feira","Quarta-feira","Quinta-feira","Sexta-feira","Sábado"))</f>
        <v/>
      </c>
      <c r="D316" s="5" t="n"/>
      <c r="E316" s="6">
        <f>IFERROR(INDEX(Consolidado_Mensal!$B$2:$B$12,MATCH($B316,Consolidado_Mensal!$A$2:$A$12,0)),"")</f>
        <v/>
      </c>
      <c r="F316" s="7">
        <f>IF($E316="","",SUMIFS($D$2:$D316,$B$2:$B316,$B316)/$E316)</f>
        <v/>
      </c>
      <c r="G316" s="6">
        <f>IF($E316="","",MAX(0,$E316-SUMIFS($D$2:$D316,$B$2:$B316,$B316)))</f>
        <v/>
      </c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6">
        <f>IF($D316="","",IF(AND($D316=0,SUM($H316:$S316)=0),"OK",IF(SUM($H316:$S316)=0,"Sem detalhe",IF(AND(OR(SUM($H316:$I316)=$D316,SUM($H316:$I316)=0),OR(SUM($J316:$K316)=$D316,SUM($J316:$K316)=0),OR(SUM($L316:$S316)=$D316,SUM($L316:$S316)=0)),"OK","Verificar: "&amp;IF(AND(SUM($H316:$I316)&lt;&gt;$D316,SUM($H316:$I316)&lt;&gt;0),"perfil ","")&amp;IF(AND(SUM($J316:$K316)&lt;&gt;$D316,SUM($J316:$K316)&lt;&gt;0),"gênero ","")&amp;IF(AND(SUM($L316:$S316)&lt;&gt;$D316,SUM($L316:$S316)&lt;&gt;0),"professor","")))))</f>
        <v/>
      </c>
      <c r="U316" s="5" t="n"/>
    </row>
    <row r="317" ht="18" customHeight="1">
      <c r="A317" s="3" t="n">
        <v>46369</v>
      </c>
      <c r="B317" s="4">
        <f>IF($A317="","",CHOOSE(MONTH($A317),"Janeiro","Fevereiro","Março","Abril","Maio","Junho","Julho","Agosto","Setembro","Outubro","Novembro","Dezembro"))</f>
        <v/>
      </c>
      <c r="C317" s="4">
        <f>IF($A317="","",CHOOSE(WEEKDAY($A317),"Domingo","Segunda-feira","Terça-feira","Quarta-feira","Quinta-feira","Sexta-feira","Sábado"))</f>
        <v/>
      </c>
      <c r="D317" s="5" t="n"/>
      <c r="E317" s="6">
        <f>IFERROR(INDEX(Consolidado_Mensal!$B$2:$B$12,MATCH($B317,Consolidado_Mensal!$A$2:$A$12,0)),"")</f>
        <v/>
      </c>
      <c r="F317" s="7">
        <f>IF($E317="","",SUMIFS($D$2:$D317,$B$2:$B317,$B317)/$E317)</f>
        <v/>
      </c>
      <c r="G317" s="6">
        <f>IF($E317="","",MAX(0,$E317-SUMIFS($D$2:$D317,$B$2:$B317,$B317)))</f>
        <v/>
      </c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6">
        <f>IF($D317="","",IF(AND($D317=0,SUM($H317:$S317)=0),"OK",IF(SUM($H317:$S317)=0,"Sem detalhe",IF(AND(OR(SUM($H317:$I317)=$D317,SUM($H317:$I317)=0),OR(SUM($J317:$K317)=$D317,SUM($J317:$K317)=0),OR(SUM($L317:$S317)=$D317,SUM($L317:$S317)=0)),"OK","Verificar: "&amp;IF(AND(SUM($H317:$I317)&lt;&gt;$D317,SUM($H317:$I317)&lt;&gt;0),"perfil ","")&amp;IF(AND(SUM($J317:$K317)&lt;&gt;$D317,SUM($J317:$K317)&lt;&gt;0),"gênero ","")&amp;IF(AND(SUM($L317:$S317)&lt;&gt;$D317,SUM($L317:$S317)&lt;&gt;0),"professor","")))))</f>
        <v/>
      </c>
      <c r="U317" s="5" t="n"/>
    </row>
    <row r="318" ht="18" customHeight="1">
      <c r="A318" s="3" t="n">
        <v>46370</v>
      </c>
      <c r="B318" s="4">
        <f>IF($A318="","",CHOOSE(MONTH($A318),"Janeiro","Fevereiro","Março","Abril","Maio","Junho","Julho","Agosto","Setembro","Outubro","Novembro","Dezembro"))</f>
        <v/>
      </c>
      <c r="C318" s="4">
        <f>IF($A318="","",CHOOSE(WEEKDAY($A318),"Domingo","Segunda-feira","Terça-feira","Quarta-feira","Quinta-feira","Sexta-feira","Sábado"))</f>
        <v/>
      </c>
      <c r="D318" s="5" t="n"/>
      <c r="E318" s="6">
        <f>IFERROR(INDEX(Consolidado_Mensal!$B$2:$B$12,MATCH($B318,Consolidado_Mensal!$A$2:$A$12,0)),"")</f>
        <v/>
      </c>
      <c r="F318" s="7">
        <f>IF($E318="","",SUMIFS($D$2:$D318,$B$2:$B318,$B318)/$E318)</f>
        <v/>
      </c>
      <c r="G318" s="6">
        <f>IF($E318="","",MAX(0,$E318-SUMIFS($D$2:$D318,$B$2:$B318,$B318)))</f>
        <v/>
      </c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6">
        <f>IF($D318="","",IF(AND($D318=0,SUM($H318:$S318)=0),"OK",IF(SUM($H318:$S318)=0,"Sem detalhe",IF(AND(OR(SUM($H318:$I318)=$D318,SUM($H318:$I318)=0),OR(SUM($J318:$K318)=$D318,SUM($J318:$K318)=0),OR(SUM($L318:$S318)=$D318,SUM($L318:$S318)=0)),"OK","Verificar: "&amp;IF(AND(SUM($H318:$I318)&lt;&gt;$D318,SUM($H318:$I318)&lt;&gt;0),"perfil ","")&amp;IF(AND(SUM($J318:$K318)&lt;&gt;$D318,SUM($J318:$K318)&lt;&gt;0),"gênero ","")&amp;IF(AND(SUM($L318:$S318)&lt;&gt;$D318,SUM($L318:$S318)&lt;&gt;0),"professor","")))))</f>
        <v/>
      </c>
      <c r="U318" s="5" t="n"/>
    </row>
    <row r="319" ht="18" customHeight="1">
      <c r="A319" s="3" t="n">
        <v>46371</v>
      </c>
      <c r="B319" s="4">
        <f>IF($A319="","",CHOOSE(MONTH($A319),"Janeiro","Fevereiro","Março","Abril","Maio","Junho","Julho","Agosto","Setembro","Outubro","Novembro","Dezembro"))</f>
        <v/>
      </c>
      <c r="C319" s="4">
        <f>IF($A319="","",CHOOSE(WEEKDAY($A319),"Domingo","Segunda-feira","Terça-feira","Quarta-feira","Quinta-feira","Sexta-feira","Sábado"))</f>
        <v/>
      </c>
      <c r="D319" s="5" t="n"/>
      <c r="E319" s="6">
        <f>IFERROR(INDEX(Consolidado_Mensal!$B$2:$B$12,MATCH($B319,Consolidado_Mensal!$A$2:$A$12,0)),"")</f>
        <v/>
      </c>
      <c r="F319" s="7">
        <f>IF($E319="","",SUMIFS($D$2:$D319,$B$2:$B319,$B319)/$E319)</f>
        <v/>
      </c>
      <c r="G319" s="6">
        <f>IF($E319="","",MAX(0,$E319-SUMIFS($D$2:$D319,$B$2:$B319,$B319)))</f>
        <v/>
      </c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6">
        <f>IF($D319="","",IF(AND($D319=0,SUM($H319:$S319)=0),"OK",IF(SUM($H319:$S319)=0,"Sem detalhe",IF(AND(OR(SUM($H319:$I319)=$D319,SUM($H319:$I319)=0),OR(SUM($J319:$K319)=$D319,SUM($J319:$K319)=0),OR(SUM($L319:$S319)=$D319,SUM($L319:$S319)=0)),"OK","Verificar: "&amp;IF(AND(SUM($H319:$I319)&lt;&gt;$D319,SUM($H319:$I319)&lt;&gt;0),"perfil ","")&amp;IF(AND(SUM($J319:$K319)&lt;&gt;$D319,SUM($J319:$K319)&lt;&gt;0),"gênero ","")&amp;IF(AND(SUM($L319:$S319)&lt;&gt;$D319,SUM($L319:$S319)&lt;&gt;0),"professor","")))))</f>
        <v/>
      </c>
      <c r="U319" s="5" t="n"/>
    </row>
    <row r="320" ht="18" customHeight="1">
      <c r="A320" s="3" t="n">
        <v>46372</v>
      </c>
      <c r="B320" s="4">
        <f>IF($A320="","",CHOOSE(MONTH($A320),"Janeiro","Fevereiro","Março","Abril","Maio","Junho","Julho","Agosto","Setembro","Outubro","Novembro","Dezembro"))</f>
        <v/>
      </c>
      <c r="C320" s="4">
        <f>IF($A320="","",CHOOSE(WEEKDAY($A320),"Domingo","Segunda-feira","Terça-feira","Quarta-feira","Quinta-feira","Sexta-feira","Sábado"))</f>
        <v/>
      </c>
      <c r="D320" s="5" t="n"/>
      <c r="E320" s="6">
        <f>IFERROR(INDEX(Consolidado_Mensal!$B$2:$B$12,MATCH($B320,Consolidado_Mensal!$A$2:$A$12,0)),"")</f>
        <v/>
      </c>
      <c r="F320" s="7">
        <f>IF($E320="","",SUMIFS($D$2:$D320,$B$2:$B320,$B320)/$E320)</f>
        <v/>
      </c>
      <c r="G320" s="6">
        <f>IF($E320="","",MAX(0,$E320-SUMIFS($D$2:$D320,$B$2:$B320,$B320)))</f>
        <v/>
      </c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6">
        <f>IF($D320="","",IF(AND($D320=0,SUM($H320:$S320)=0),"OK",IF(SUM($H320:$S320)=0,"Sem detalhe",IF(AND(OR(SUM($H320:$I320)=$D320,SUM($H320:$I320)=0),OR(SUM($J320:$K320)=$D320,SUM($J320:$K320)=0),OR(SUM($L320:$S320)=$D320,SUM($L320:$S320)=0)),"OK","Verificar: "&amp;IF(AND(SUM($H320:$I320)&lt;&gt;$D320,SUM($H320:$I320)&lt;&gt;0),"perfil ","")&amp;IF(AND(SUM($J320:$K320)&lt;&gt;$D320,SUM($J320:$K320)&lt;&gt;0),"gênero ","")&amp;IF(AND(SUM($L320:$S320)&lt;&gt;$D320,SUM($L320:$S320)&lt;&gt;0),"professor","")))))</f>
        <v/>
      </c>
      <c r="U320" s="5" t="n"/>
    </row>
    <row r="321" ht="18" customHeight="1">
      <c r="A321" s="3" t="n">
        <v>46373</v>
      </c>
      <c r="B321" s="4">
        <f>IF($A321="","",CHOOSE(MONTH($A321),"Janeiro","Fevereiro","Março","Abril","Maio","Junho","Julho","Agosto","Setembro","Outubro","Novembro","Dezembro"))</f>
        <v/>
      </c>
      <c r="C321" s="4">
        <f>IF($A321="","",CHOOSE(WEEKDAY($A321),"Domingo","Segunda-feira","Terça-feira","Quarta-feira","Quinta-feira","Sexta-feira","Sábado"))</f>
        <v/>
      </c>
      <c r="D321" s="5" t="n"/>
      <c r="E321" s="6">
        <f>IFERROR(INDEX(Consolidado_Mensal!$B$2:$B$12,MATCH($B321,Consolidado_Mensal!$A$2:$A$12,0)),"")</f>
        <v/>
      </c>
      <c r="F321" s="7">
        <f>IF($E321="","",SUMIFS($D$2:$D321,$B$2:$B321,$B321)/$E321)</f>
        <v/>
      </c>
      <c r="G321" s="6">
        <f>IF($E321="","",MAX(0,$E321-SUMIFS($D$2:$D321,$B$2:$B321,$B321)))</f>
        <v/>
      </c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6">
        <f>IF($D321="","",IF(AND($D321=0,SUM($H321:$S321)=0),"OK",IF(SUM($H321:$S321)=0,"Sem detalhe",IF(AND(OR(SUM($H321:$I321)=$D321,SUM($H321:$I321)=0),OR(SUM($J321:$K321)=$D321,SUM($J321:$K321)=0),OR(SUM($L321:$S321)=$D321,SUM($L321:$S321)=0)),"OK","Verificar: "&amp;IF(AND(SUM($H321:$I321)&lt;&gt;$D321,SUM($H321:$I321)&lt;&gt;0),"perfil ","")&amp;IF(AND(SUM($J321:$K321)&lt;&gt;$D321,SUM($J321:$K321)&lt;&gt;0),"gênero ","")&amp;IF(AND(SUM($L321:$S321)&lt;&gt;$D321,SUM($L321:$S321)&lt;&gt;0),"professor","")))))</f>
        <v/>
      </c>
      <c r="U321" s="5" t="n"/>
    </row>
    <row r="322" ht="18" customHeight="1">
      <c r="A322" s="3" t="n">
        <v>46374</v>
      </c>
      <c r="B322" s="4">
        <f>IF($A322="","",CHOOSE(MONTH($A322),"Janeiro","Fevereiro","Março","Abril","Maio","Junho","Julho","Agosto","Setembro","Outubro","Novembro","Dezembro"))</f>
        <v/>
      </c>
      <c r="C322" s="4">
        <f>IF($A322="","",CHOOSE(WEEKDAY($A322),"Domingo","Segunda-feira","Terça-feira","Quarta-feira","Quinta-feira","Sexta-feira","Sábado"))</f>
        <v/>
      </c>
      <c r="D322" s="5" t="n"/>
      <c r="E322" s="6">
        <f>IFERROR(INDEX(Consolidado_Mensal!$B$2:$B$12,MATCH($B322,Consolidado_Mensal!$A$2:$A$12,0)),"")</f>
        <v/>
      </c>
      <c r="F322" s="7">
        <f>IF($E322="","",SUMIFS($D$2:$D322,$B$2:$B322,$B322)/$E322)</f>
        <v/>
      </c>
      <c r="G322" s="6">
        <f>IF($E322="","",MAX(0,$E322-SUMIFS($D$2:$D322,$B$2:$B322,$B322)))</f>
        <v/>
      </c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6">
        <f>IF($D322="","",IF(AND($D322=0,SUM($H322:$S322)=0),"OK",IF(SUM($H322:$S322)=0,"Sem detalhe",IF(AND(OR(SUM($H322:$I322)=$D322,SUM($H322:$I322)=0),OR(SUM($J322:$K322)=$D322,SUM($J322:$K322)=0),OR(SUM($L322:$S322)=$D322,SUM($L322:$S322)=0)),"OK","Verificar: "&amp;IF(AND(SUM($H322:$I322)&lt;&gt;$D322,SUM($H322:$I322)&lt;&gt;0),"perfil ","")&amp;IF(AND(SUM($J322:$K322)&lt;&gt;$D322,SUM($J322:$K322)&lt;&gt;0),"gênero ","")&amp;IF(AND(SUM($L322:$S322)&lt;&gt;$D322,SUM($L322:$S322)&lt;&gt;0),"professor","")))))</f>
        <v/>
      </c>
      <c r="U322" s="5" t="n"/>
    </row>
    <row r="323" ht="18" customHeight="1">
      <c r="A323" s="3" t="n">
        <v>46375</v>
      </c>
      <c r="B323" s="4">
        <f>IF($A323="","",CHOOSE(MONTH($A323),"Janeiro","Fevereiro","Março","Abril","Maio","Junho","Julho","Agosto","Setembro","Outubro","Novembro","Dezembro"))</f>
        <v/>
      </c>
      <c r="C323" s="4">
        <f>IF($A323="","",CHOOSE(WEEKDAY($A323),"Domingo","Segunda-feira","Terça-feira","Quarta-feira","Quinta-feira","Sexta-feira","Sábado"))</f>
        <v/>
      </c>
      <c r="D323" s="5" t="n"/>
      <c r="E323" s="6">
        <f>IFERROR(INDEX(Consolidado_Mensal!$B$2:$B$12,MATCH($B323,Consolidado_Mensal!$A$2:$A$12,0)),"")</f>
        <v/>
      </c>
      <c r="F323" s="7">
        <f>IF($E323="","",SUMIFS($D$2:$D323,$B$2:$B323,$B323)/$E323)</f>
        <v/>
      </c>
      <c r="G323" s="6">
        <f>IF($E323="","",MAX(0,$E323-SUMIFS($D$2:$D323,$B$2:$B323,$B323)))</f>
        <v/>
      </c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6">
        <f>IF($D323="","",IF(AND($D323=0,SUM($H323:$S323)=0),"OK",IF(SUM($H323:$S323)=0,"Sem detalhe",IF(AND(OR(SUM($H323:$I323)=$D323,SUM($H323:$I323)=0),OR(SUM($J323:$K323)=$D323,SUM($J323:$K323)=0),OR(SUM($L323:$S323)=$D323,SUM($L323:$S323)=0)),"OK","Verificar: "&amp;IF(AND(SUM($H323:$I323)&lt;&gt;$D323,SUM($H323:$I323)&lt;&gt;0),"perfil ","")&amp;IF(AND(SUM($J323:$K323)&lt;&gt;$D323,SUM($J323:$K323)&lt;&gt;0),"gênero ","")&amp;IF(AND(SUM($L323:$S323)&lt;&gt;$D323,SUM($L323:$S323)&lt;&gt;0),"professor","")))))</f>
        <v/>
      </c>
      <c r="U323" s="5" t="n"/>
    </row>
    <row r="324" ht="18" customHeight="1">
      <c r="A324" s="3" t="n">
        <v>46376</v>
      </c>
      <c r="B324" s="4">
        <f>IF($A324="","",CHOOSE(MONTH($A324),"Janeiro","Fevereiro","Março","Abril","Maio","Junho","Julho","Agosto","Setembro","Outubro","Novembro","Dezembro"))</f>
        <v/>
      </c>
      <c r="C324" s="4">
        <f>IF($A324="","",CHOOSE(WEEKDAY($A324),"Domingo","Segunda-feira","Terça-feira","Quarta-feira","Quinta-feira","Sexta-feira","Sábado"))</f>
        <v/>
      </c>
      <c r="D324" s="5" t="n"/>
      <c r="E324" s="6">
        <f>IFERROR(INDEX(Consolidado_Mensal!$B$2:$B$12,MATCH($B324,Consolidado_Mensal!$A$2:$A$12,0)),"")</f>
        <v/>
      </c>
      <c r="F324" s="7">
        <f>IF($E324="","",SUMIFS($D$2:$D324,$B$2:$B324,$B324)/$E324)</f>
        <v/>
      </c>
      <c r="G324" s="6">
        <f>IF($E324="","",MAX(0,$E324-SUMIFS($D$2:$D324,$B$2:$B324,$B324)))</f>
        <v/>
      </c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6">
        <f>IF($D324="","",IF(AND($D324=0,SUM($H324:$S324)=0),"OK",IF(SUM($H324:$S324)=0,"Sem detalhe",IF(AND(OR(SUM($H324:$I324)=$D324,SUM($H324:$I324)=0),OR(SUM($J324:$K324)=$D324,SUM($J324:$K324)=0),OR(SUM($L324:$S324)=$D324,SUM($L324:$S324)=0)),"OK","Verificar: "&amp;IF(AND(SUM($H324:$I324)&lt;&gt;$D324,SUM($H324:$I324)&lt;&gt;0),"perfil ","")&amp;IF(AND(SUM($J324:$K324)&lt;&gt;$D324,SUM($J324:$K324)&lt;&gt;0),"gênero ","")&amp;IF(AND(SUM($L324:$S324)&lt;&gt;$D324,SUM($L324:$S324)&lt;&gt;0),"professor","")))))</f>
        <v/>
      </c>
      <c r="U324" s="5" t="n"/>
    </row>
    <row r="325" ht="18" customHeight="1">
      <c r="A325" s="3" t="n">
        <v>46377</v>
      </c>
      <c r="B325" s="4">
        <f>IF($A325="","",CHOOSE(MONTH($A325),"Janeiro","Fevereiro","Março","Abril","Maio","Junho","Julho","Agosto","Setembro","Outubro","Novembro","Dezembro"))</f>
        <v/>
      </c>
      <c r="C325" s="4">
        <f>IF($A325="","",CHOOSE(WEEKDAY($A325),"Domingo","Segunda-feira","Terça-feira","Quarta-feira","Quinta-feira","Sexta-feira","Sábado"))</f>
        <v/>
      </c>
      <c r="D325" s="5" t="n"/>
      <c r="E325" s="6">
        <f>IFERROR(INDEX(Consolidado_Mensal!$B$2:$B$12,MATCH($B325,Consolidado_Mensal!$A$2:$A$12,0)),"")</f>
        <v/>
      </c>
      <c r="F325" s="7">
        <f>IF($E325="","",SUMIFS($D$2:$D325,$B$2:$B325,$B325)/$E325)</f>
        <v/>
      </c>
      <c r="G325" s="6">
        <f>IF($E325="","",MAX(0,$E325-SUMIFS($D$2:$D325,$B$2:$B325,$B325)))</f>
        <v/>
      </c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6">
        <f>IF($D325="","",IF(AND($D325=0,SUM($H325:$S325)=0),"OK",IF(SUM($H325:$S325)=0,"Sem detalhe",IF(AND(OR(SUM($H325:$I325)=$D325,SUM($H325:$I325)=0),OR(SUM($J325:$K325)=$D325,SUM($J325:$K325)=0),OR(SUM($L325:$S325)=$D325,SUM($L325:$S325)=0)),"OK","Verificar: "&amp;IF(AND(SUM($H325:$I325)&lt;&gt;$D325,SUM($H325:$I325)&lt;&gt;0),"perfil ","")&amp;IF(AND(SUM($J325:$K325)&lt;&gt;$D325,SUM($J325:$K325)&lt;&gt;0),"gênero ","")&amp;IF(AND(SUM($L325:$S325)&lt;&gt;$D325,SUM($L325:$S325)&lt;&gt;0),"professor","")))))</f>
        <v/>
      </c>
      <c r="U325" s="5" t="n"/>
    </row>
    <row r="326" ht="18" customHeight="1">
      <c r="A326" s="3" t="n">
        <v>46378</v>
      </c>
      <c r="B326" s="4">
        <f>IF($A326="","",CHOOSE(MONTH($A326),"Janeiro","Fevereiro","Março","Abril","Maio","Junho","Julho","Agosto","Setembro","Outubro","Novembro","Dezembro"))</f>
        <v/>
      </c>
      <c r="C326" s="4">
        <f>IF($A326="","",CHOOSE(WEEKDAY($A326),"Domingo","Segunda-feira","Terça-feira","Quarta-feira","Quinta-feira","Sexta-feira","Sábado"))</f>
        <v/>
      </c>
      <c r="D326" s="5" t="n"/>
      <c r="E326" s="6">
        <f>IFERROR(INDEX(Consolidado_Mensal!$B$2:$B$12,MATCH($B326,Consolidado_Mensal!$A$2:$A$12,0)),"")</f>
        <v/>
      </c>
      <c r="F326" s="7">
        <f>IF($E326="","",SUMIFS($D$2:$D326,$B$2:$B326,$B326)/$E326)</f>
        <v/>
      </c>
      <c r="G326" s="6">
        <f>IF($E326="","",MAX(0,$E326-SUMIFS($D$2:$D326,$B$2:$B326,$B326)))</f>
        <v/>
      </c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6">
        <f>IF($D326="","",IF(AND($D326=0,SUM($H326:$S326)=0),"OK",IF(SUM($H326:$S326)=0,"Sem detalhe",IF(AND(OR(SUM($H326:$I326)=$D326,SUM($H326:$I326)=0),OR(SUM($J326:$K326)=$D326,SUM($J326:$K326)=0),OR(SUM($L326:$S326)=$D326,SUM($L326:$S326)=0)),"OK","Verificar: "&amp;IF(AND(SUM($H326:$I326)&lt;&gt;$D326,SUM($H326:$I326)&lt;&gt;0),"perfil ","")&amp;IF(AND(SUM($J326:$K326)&lt;&gt;$D326,SUM($J326:$K326)&lt;&gt;0),"gênero ","")&amp;IF(AND(SUM($L326:$S326)&lt;&gt;$D326,SUM($L326:$S326)&lt;&gt;0),"professor","")))))</f>
        <v/>
      </c>
      <c r="U326" s="5" t="n"/>
    </row>
    <row r="327" ht="18" customHeight="1">
      <c r="A327" s="3" t="n">
        <v>46379</v>
      </c>
      <c r="B327" s="4">
        <f>IF($A327="","",CHOOSE(MONTH($A327),"Janeiro","Fevereiro","Março","Abril","Maio","Junho","Julho","Agosto","Setembro","Outubro","Novembro","Dezembro"))</f>
        <v/>
      </c>
      <c r="C327" s="4">
        <f>IF($A327="","",CHOOSE(WEEKDAY($A327),"Domingo","Segunda-feira","Terça-feira","Quarta-feira","Quinta-feira","Sexta-feira","Sábado"))</f>
        <v/>
      </c>
      <c r="D327" s="5" t="n"/>
      <c r="E327" s="6">
        <f>IFERROR(INDEX(Consolidado_Mensal!$B$2:$B$12,MATCH($B327,Consolidado_Mensal!$A$2:$A$12,0)),"")</f>
        <v/>
      </c>
      <c r="F327" s="7">
        <f>IF($E327="","",SUMIFS($D$2:$D327,$B$2:$B327,$B327)/$E327)</f>
        <v/>
      </c>
      <c r="G327" s="6">
        <f>IF($E327="","",MAX(0,$E327-SUMIFS($D$2:$D327,$B$2:$B327,$B327)))</f>
        <v/>
      </c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6">
        <f>IF($D327="","",IF(AND($D327=0,SUM($H327:$S327)=0),"OK",IF(SUM($H327:$S327)=0,"Sem detalhe",IF(AND(OR(SUM($H327:$I327)=$D327,SUM($H327:$I327)=0),OR(SUM($J327:$K327)=$D327,SUM($J327:$K327)=0),OR(SUM($L327:$S327)=$D327,SUM($L327:$S327)=0)),"OK","Verificar: "&amp;IF(AND(SUM($H327:$I327)&lt;&gt;$D327,SUM($H327:$I327)&lt;&gt;0),"perfil ","")&amp;IF(AND(SUM($J327:$K327)&lt;&gt;$D327,SUM($J327:$K327)&lt;&gt;0),"gênero ","")&amp;IF(AND(SUM($L327:$S327)&lt;&gt;$D327,SUM($L327:$S327)&lt;&gt;0),"professor","")))))</f>
        <v/>
      </c>
      <c r="U327" s="5" t="n"/>
    </row>
    <row r="328" ht="18" customHeight="1">
      <c r="A328" s="3" t="n">
        <v>46380</v>
      </c>
      <c r="B328" s="4">
        <f>IF($A328="","",CHOOSE(MONTH($A328),"Janeiro","Fevereiro","Março","Abril","Maio","Junho","Julho","Agosto","Setembro","Outubro","Novembro","Dezembro"))</f>
        <v/>
      </c>
      <c r="C328" s="4">
        <f>IF($A328="","",CHOOSE(WEEKDAY($A328),"Domingo","Segunda-feira","Terça-feira","Quarta-feira","Quinta-feira","Sexta-feira","Sábado"))</f>
        <v/>
      </c>
      <c r="D328" s="5" t="n"/>
      <c r="E328" s="6">
        <f>IFERROR(INDEX(Consolidado_Mensal!$B$2:$B$12,MATCH($B328,Consolidado_Mensal!$A$2:$A$12,0)),"")</f>
        <v/>
      </c>
      <c r="F328" s="7">
        <f>IF($E328="","",SUMIFS($D$2:$D328,$B$2:$B328,$B328)/$E328)</f>
        <v/>
      </c>
      <c r="G328" s="6">
        <f>IF($E328="","",MAX(0,$E328-SUMIFS($D$2:$D328,$B$2:$B328,$B328)))</f>
        <v/>
      </c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6">
        <f>IF($D328="","",IF(AND($D328=0,SUM($H328:$S328)=0),"OK",IF(SUM($H328:$S328)=0,"Sem detalhe",IF(AND(OR(SUM($H328:$I328)=$D328,SUM($H328:$I328)=0),OR(SUM($J328:$K328)=$D328,SUM($J328:$K328)=0),OR(SUM($L328:$S328)=$D328,SUM($L328:$S328)=0)),"OK","Verificar: "&amp;IF(AND(SUM($H328:$I328)&lt;&gt;$D328,SUM($H328:$I328)&lt;&gt;0),"perfil ","")&amp;IF(AND(SUM($J328:$K328)&lt;&gt;$D328,SUM($J328:$K328)&lt;&gt;0),"gênero ","")&amp;IF(AND(SUM($L328:$S328)&lt;&gt;$D328,SUM($L328:$S328)&lt;&gt;0),"professor","")))))</f>
        <v/>
      </c>
      <c r="U328" s="5" t="n"/>
    </row>
    <row r="329" ht="18" customHeight="1">
      <c r="A329" s="3" t="n">
        <v>46381</v>
      </c>
      <c r="B329" s="4">
        <f>IF($A329="","",CHOOSE(MONTH($A329),"Janeiro","Fevereiro","Março","Abril","Maio","Junho","Julho","Agosto","Setembro","Outubro","Novembro","Dezembro"))</f>
        <v/>
      </c>
      <c r="C329" s="4">
        <f>IF($A329="","",CHOOSE(WEEKDAY($A329),"Domingo","Segunda-feira","Terça-feira","Quarta-feira","Quinta-feira","Sexta-feira","Sábado"))</f>
        <v/>
      </c>
      <c r="D329" s="5" t="n"/>
      <c r="E329" s="6">
        <f>IFERROR(INDEX(Consolidado_Mensal!$B$2:$B$12,MATCH($B329,Consolidado_Mensal!$A$2:$A$12,0)),"")</f>
        <v/>
      </c>
      <c r="F329" s="7">
        <f>IF($E329="","",SUMIFS($D$2:$D329,$B$2:$B329,$B329)/$E329)</f>
        <v/>
      </c>
      <c r="G329" s="6">
        <f>IF($E329="","",MAX(0,$E329-SUMIFS($D$2:$D329,$B$2:$B329,$B329)))</f>
        <v/>
      </c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6">
        <f>IF($D329="","",IF(AND($D329=0,SUM($H329:$S329)=0),"OK",IF(SUM($H329:$S329)=0,"Sem detalhe",IF(AND(OR(SUM($H329:$I329)=$D329,SUM($H329:$I329)=0),OR(SUM($J329:$K329)=$D329,SUM($J329:$K329)=0),OR(SUM($L329:$S329)=$D329,SUM($L329:$S329)=0)),"OK","Verificar: "&amp;IF(AND(SUM($H329:$I329)&lt;&gt;$D329,SUM($H329:$I329)&lt;&gt;0),"perfil ","")&amp;IF(AND(SUM($J329:$K329)&lt;&gt;$D329,SUM($J329:$K329)&lt;&gt;0),"gênero ","")&amp;IF(AND(SUM($L329:$S329)&lt;&gt;$D329,SUM($L329:$S329)&lt;&gt;0),"professor","")))))</f>
        <v/>
      </c>
      <c r="U329" s="5" t="n"/>
    </row>
    <row r="330" ht="18" customHeight="1">
      <c r="A330" s="3" t="n">
        <v>46382</v>
      </c>
      <c r="B330" s="4">
        <f>IF($A330="","",CHOOSE(MONTH($A330),"Janeiro","Fevereiro","Março","Abril","Maio","Junho","Julho","Agosto","Setembro","Outubro","Novembro","Dezembro"))</f>
        <v/>
      </c>
      <c r="C330" s="4">
        <f>IF($A330="","",CHOOSE(WEEKDAY($A330),"Domingo","Segunda-feira","Terça-feira","Quarta-feira","Quinta-feira","Sexta-feira","Sábado"))</f>
        <v/>
      </c>
      <c r="D330" s="5" t="n"/>
      <c r="E330" s="6">
        <f>IFERROR(INDEX(Consolidado_Mensal!$B$2:$B$12,MATCH($B330,Consolidado_Mensal!$A$2:$A$12,0)),"")</f>
        <v/>
      </c>
      <c r="F330" s="7">
        <f>IF($E330="","",SUMIFS($D$2:$D330,$B$2:$B330,$B330)/$E330)</f>
        <v/>
      </c>
      <c r="G330" s="6">
        <f>IF($E330="","",MAX(0,$E330-SUMIFS($D$2:$D330,$B$2:$B330,$B330)))</f>
        <v/>
      </c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6">
        <f>IF($D330="","",IF(AND($D330=0,SUM($H330:$S330)=0),"OK",IF(SUM($H330:$S330)=0,"Sem detalhe",IF(AND(OR(SUM($H330:$I330)=$D330,SUM($H330:$I330)=0),OR(SUM($J330:$K330)=$D330,SUM($J330:$K330)=0),OR(SUM($L330:$S330)=$D330,SUM($L330:$S330)=0)),"OK","Verificar: "&amp;IF(AND(SUM($H330:$I330)&lt;&gt;$D330,SUM($H330:$I330)&lt;&gt;0),"perfil ","")&amp;IF(AND(SUM($J330:$K330)&lt;&gt;$D330,SUM($J330:$K330)&lt;&gt;0),"gênero ","")&amp;IF(AND(SUM($L330:$S330)&lt;&gt;$D330,SUM($L330:$S330)&lt;&gt;0),"professor","")))))</f>
        <v/>
      </c>
      <c r="U330" s="5" t="n"/>
    </row>
    <row r="331" ht="18" customHeight="1">
      <c r="A331" s="3" t="n">
        <v>46383</v>
      </c>
      <c r="B331" s="4">
        <f>IF($A331="","",CHOOSE(MONTH($A331),"Janeiro","Fevereiro","Março","Abril","Maio","Junho","Julho","Agosto","Setembro","Outubro","Novembro","Dezembro"))</f>
        <v/>
      </c>
      <c r="C331" s="4">
        <f>IF($A331="","",CHOOSE(WEEKDAY($A331),"Domingo","Segunda-feira","Terça-feira","Quarta-feira","Quinta-feira","Sexta-feira","Sábado"))</f>
        <v/>
      </c>
      <c r="D331" s="5" t="n"/>
      <c r="E331" s="6">
        <f>IFERROR(INDEX(Consolidado_Mensal!$B$2:$B$12,MATCH($B331,Consolidado_Mensal!$A$2:$A$12,0)),"")</f>
        <v/>
      </c>
      <c r="F331" s="7">
        <f>IF($E331="","",SUMIFS($D$2:$D331,$B$2:$B331,$B331)/$E331)</f>
        <v/>
      </c>
      <c r="G331" s="6">
        <f>IF($E331="","",MAX(0,$E331-SUMIFS($D$2:$D331,$B$2:$B331,$B331)))</f>
        <v/>
      </c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6">
        <f>IF($D331="","",IF(AND($D331=0,SUM($H331:$S331)=0),"OK",IF(SUM($H331:$S331)=0,"Sem detalhe",IF(AND(OR(SUM($H331:$I331)=$D331,SUM($H331:$I331)=0),OR(SUM($J331:$K331)=$D331,SUM($J331:$K331)=0),OR(SUM($L331:$S331)=$D331,SUM($L331:$S331)=0)),"OK","Verificar: "&amp;IF(AND(SUM($H331:$I331)&lt;&gt;$D331,SUM($H331:$I331)&lt;&gt;0),"perfil ","")&amp;IF(AND(SUM($J331:$K331)&lt;&gt;$D331,SUM($J331:$K331)&lt;&gt;0),"gênero ","")&amp;IF(AND(SUM($L331:$S331)&lt;&gt;$D331,SUM($L331:$S331)&lt;&gt;0),"professor","")))))</f>
        <v/>
      </c>
      <c r="U331" s="5" t="n"/>
    </row>
    <row r="332" ht="18" customHeight="1">
      <c r="A332" s="3" t="n">
        <v>46384</v>
      </c>
      <c r="B332" s="4">
        <f>IF($A332="","",CHOOSE(MONTH($A332),"Janeiro","Fevereiro","Março","Abril","Maio","Junho","Julho","Agosto","Setembro","Outubro","Novembro","Dezembro"))</f>
        <v/>
      </c>
      <c r="C332" s="4">
        <f>IF($A332="","",CHOOSE(WEEKDAY($A332),"Domingo","Segunda-feira","Terça-feira","Quarta-feira","Quinta-feira","Sexta-feira","Sábado"))</f>
        <v/>
      </c>
      <c r="D332" s="5" t="n"/>
      <c r="E332" s="6">
        <f>IFERROR(INDEX(Consolidado_Mensal!$B$2:$B$12,MATCH($B332,Consolidado_Mensal!$A$2:$A$12,0)),"")</f>
        <v/>
      </c>
      <c r="F332" s="7">
        <f>IF($E332="","",SUMIFS($D$2:$D332,$B$2:$B332,$B332)/$E332)</f>
        <v/>
      </c>
      <c r="G332" s="6">
        <f>IF($E332="","",MAX(0,$E332-SUMIFS($D$2:$D332,$B$2:$B332,$B332)))</f>
        <v/>
      </c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6">
        <f>IF($D332="","",IF(AND($D332=0,SUM($H332:$S332)=0),"OK",IF(SUM($H332:$S332)=0,"Sem detalhe",IF(AND(OR(SUM($H332:$I332)=$D332,SUM($H332:$I332)=0),OR(SUM($J332:$K332)=$D332,SUM($J332:$K332)=0),OR(SUM($L332:$S332)=$D332,SUM($L332:$S332)=0)),"OK","Verificar: "&amp;IF(AND(SUM($H332:$I332)&lt;&gt;$D332,SUM($H332:$I332)&lt;&gt;0),"perfil ","")&amp;IF(AND(SUM($J332:$K332)&lt;&gt;$D332,SUM($J332:$K332)&lt;&gt;0),"gênero ","")&amp;IF(AND(SUM($L332:$S332)&lt;&gt;$D332,SUM($L332:$S332)&lt;&gt;0),"professor","")))))</f>
        <v/>
      </c>
      <c r="U332" s="5" t="n"/>
    </row>
    <row r="333" ht="18" customHeight="1">
      <c r="A333" s="3" t="n">
        <v>46385</v>
      </c>
      <c r="B333" s="4">
        <f>IF($A333="","",CHOOSE(MONTH($A333),"Janeiro","Fevereiro","Março","Abril","Maio","Junho","Julho","Agosto","Setembro","Outubro","Novembro","Dezembro"))</f>
        <v/>
      </c>
      <c r="C333" s="4">
        <f>IF($A333="","",CHOOSE(WEEKDAY($A333),"Domingo","Segunda-feira","Terça-feira","Quarta-feira","Quinta-feira","Sexta-feira","Sábado"))</f>
        <v/>
      </c>
      <c r="D333" s="5" t="n"/>
      <c r="E333" s="6">
        <f>IFERROR(INDEX(Consolidado_Mensal!$B$2:$B$12,MATCH($B333,Consolidado_Mensal!$A$2:$A$12,0)),"")</f>
        <v/>
      </c>
      <c r="F333" s="7">
        <f>IF($E333="","",SUMIFS($D$2:$D333,$B$2:$B333,$B333)/$E333)</f>
        <v/>
      </c>
      <c r="G333" s="6">
        <f>IF($E333="","",MAX(0,$E333-SUMIFS($D$2:$D333,$B$2:$B333,$B333)))</f>
        <v/>
      </c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6">
        <f>IF($D333="","",IF(AND($D333=0,SUM($H333:$S333)=0),"OK",IF(SUM($H333:$S333)=0,"Sem detalhe",IF(AND(OR(SUM($H333:$I333)=$D333,SUM($H333:$I333)=0),OR(SUM($J333:$K333)=$D333,SUM($J333:$K333)=0),OR(SUM($L333:$S333)=$D333,SUM($L333:$S333)=0)),"OK","Verificar: "&amp;IF(AND(SUM($H333:$I333)&lt;&gt;$D333,SUM($H333:$I333)&lt;&gt;0),"perfil ","")&amp;IF(AND(SUM($J333:$K333)&lt;&gt;$D333,SUM($J333:$K333)&lt;&gt;0),"gênero ","")&amp;IF(AND(SUM($L333:$S333)&lt;&gt;$D333,SUM($L333:$S333)&lt;&gt;0),"professor","")))))</f>
        <v/>
      </c>
      <c r="U333" s="5" t="n"/>
    </row>
    <row r="334" ht="18" customHeight="1">
      <c r="A334" s="3" t="n">
        <v>46386</v>
      </c>
      <c r="B334" s="4">
        <f>IF($A334="","",CHOOSE(MONTH($A334),"Janeiro","Fevereiro","Março","Abril","Maio","Junho","Julho","Agosto","Setembro","Outubro","Novembro","Dezembro"))</f>
        <v/>
      </c>
      <c r="C334" s="4">
        <f>IF($A334="","",CHOOSE(WEEKDAY($A334),"Domingo","Segunda-feira","Terça-feira","Quarta-feira","Quinta-feira","Sexta-feira","Sábado"))</f>
        <v/>
      </c>
      <c r="D334" s="5" t="n"/>
      <c r="E334" s="6">
        <f>IFERROR(INDEX(Consolidado_Mensal!$B$2:$B$12,MATCH($B334,Consolidado_Mensal!$A$2:$A$12,0)),"")</f>
        <v/>
      </c>
      <c r="F334" s="7">
        <f>IF($E334="","",SUMIFS($D$2:$D334,$B$2:$B334,$B334)/$E334)</f>
        <v/>
      </c>
      <c r="G334" s="6">
        <f>IF($E334="","",MAX(0,$E334-SUMIFS($D$2:$D334,$B$2:$B334,$B334)))</f>
        <v/>
      </c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6">
        <f>IF($D334="","",IF(AND($D334=0,SUM($H334:$S334)=0),"OK",IF(SUM($H334:$S334)=0,"Sem detalhe",IF(AND(OR(SUM($H334:$I334)=$D334,SUM($H334:$I334)=0),OR(SUM($J334:$K334)=$D334,SUM($J334:$K334)=0),OR(SUM($L334:$S334)=$D334,SUM($L334:$S334)=0)),"OK","Verificar: "&amp;IF(AND(SUM($H334:$I334)&lt;&gt;$D334,SUM($H334:$I334)&lt;&gt;0),"perfil ","")&amp;IF(AND(SUM($J334:$K334)&lt;&gt;$D334,SUM($J334:$K334)&lt;&gt;0),"gênero ","")&amp;IF(AND(SUM($L334:$S334)&lt;&gt;$D334,SUM($L334:$S334)&lt;&gt;0),"professor","")))))</f>
        <v/>
      </c>
      <c r="U334" s="5" t="n"/>
    </row>
    <row r="335" ht="18" customHeight="1">
      <c r="A335" s="3" t="n">
        <v>46387</v>
      </c>
      <c r="B335" s="4">
        <f>IF($A335="","",CHOOSE(MONTH($A335),"Janeiro","Fevereiro","Março","Abril","Maio","Junho","Julho","Agosto","Setembro","Outubro","Novembro","Dezembro"))</f>
        <v/>
      </c>
      <c r="C335" s="4">
        <f>IF($A335="","",CHOOSE(WEEKDAY($A335),"Domingo","Segunda-feira","Terça-feira","Quarta-feira","Quinta-feira","Sexta-feira","Sábado"))</f>
        <v/>
      </c>
      <c r="D335" s="5" t="n"/>
      <c r="E335" s="6">
        <f>IFERROR(INDEX(Consolidado_Mensal!$B$2:$B$12,MATCH($B335,Consolidado_Mensal!$A$2:$A$12,0)),"")</f>
        <v/>
      </c>
      <c r="F335" s="7">
        <f>IF($E335="","",SUMIFS($D$2:$D335,$B$2:$B335,$B335)/$E335)</f>
        <v/>
      </c>
      <c r="G335" s="6">
        <f>IF($E335="","",MAX(0,$E335-SUMIFS($D$2:$D335,$B$2:$B335,$B335)))</f>
        <v/>
      </c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6">
        <f>IF($D335="","",IF(AND($D335=0,SUM($H335:$S335)=0),"OK",IF(SUM($H335:$S335)=0,"Sem detalhe",IF(AND(OR(SUM($H335:$I335)=$D335,SUM($H335:$I335)=0),OR(SUM($J335:$K335)=$D335,SUM($J335:$K335)=0),OR(SUM($L335:$S335)=$D335,SUM($L335:$S335)=0)),"OK","Verificar: "&amp;IF(AND(SUM($H335:$I335)&lt;&gt;$D335,SUM($H335:$I335)&lt;&gt;0),"perfil ","")&amp;IF(AND(SUM($J335:$K335)&lt;&gt;$D335,SUM($J335:$K335)&lt;&gt;0),"gênero ","")&amp;IF(AND(SUM($L335:$S335)&lt;&gt;$D335,SUM($L335:$S335)&lt;&gt;0),"professor","")))))</f>
        <v/>
      </c>
      <c r="U335" s="5" t="n"/>
    </row>
  </sheetData>
  <autoFilter ref="A1:U335"/>
  <conditionalFormatting sqref="T2:T335">
    <cfRule type="expression" priority="1" dxfId="0">
      <formula>ISNUMBER(SEARCH("Verificar",$T2))</formula>
    </cfRule>
    <cfRule type="expression" priority="2" dxfId="1">
      <formula>$T2="OK"</formula>
    </cfRule>
  </conditionalFormatting>
  <dataValidations count="1">
    <dataValidation sqref="D2:S335" showDropDown="0" showInputMessage="0" showErrorMessage="1" allowBlank="1" errorTitle="Valor inválido" error="Digite um número inteiro maior ou igual a zero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9" customWidth="1" min="4" max="4"/>
    <col width="15" customWidth="1" min="5" max="5"/>
    <col width="12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70" customWidth="1" min="12" max="12"/>
  </cols>
  <sheetData>
    <row r="1" ht="30" customHeight="1">
      <c r="A1" s="1" t="inlineStr">
        <is>
          <t>Mês</t>
        </is>
      </c>
      <c r="B1" s="1" t="inlineStr">
        <is>
          <t>Total</t>
        </is>
      </c>
      <c r="C1" s="1" t="inlineStr">
        <is>
          <t>Mulheres</t>
        </is>
      </c>
      <c r="D1" s="1" t="inlineStr">
        <is>
          <t>Homens</t>
        </is>
      </c>
      <c r="E1" s="1" t="inlineStr">
        <is>
          <t>Já Matriculados</t>
        </is>
      </c>
      <c r="F1" s="1" t="inlineStr">
        <is>
          <t>Aluno Novo</t>
        </is>
      </c>
      <c r="G1" s="1" t="inlineStr">
        <is>
          <t>Lucas</t>
        </is>
      </c>
      <c r="H1" s="1" t="inlineStr">
        <is>
          <t>Edy</t>
        </is>
      </c>
      <c r="I1" s="1" t="inlineStr">
        <is>
          <t>Eduardo</t>
        </is>
      </c>
      <c r="J1" s="1" t="inlineStr">
        <is>
          <t>Luiz</t>
        </is>
      </c>
      <c r="K1" s="1" t="inlineStr">
        <is>
          <t>Maria</t>
        </is>
      </c>
      <c r="L1" s="1" t="inlineStr">
        <is>
          <t>Observação</t>
        </is>
      </c>
    </row>
    <row r="2">
      <c r="A2" s="8" t="inlineStr">
        <is>
          <t>Fevereiro</t>
        </is>
      </c>
      <c r="B2" s="8" t="n">
        <v>29</v>
      </c>
      <c r="C2" s="8" t="n"/>
      <c r="D2" s="8" t="n"/>
      <c r="E2" s="8" t="n"/>
      <c r="F2" s="8" t="n"/>
      <c r="G2" s="8" t="n">
        <v>15</v>
      </c>
      <c r="H2" s="8" t="n">
        <v>14</v>
      </c>
      <c r="I2" s="8" t="n"/>
      <c r="J2" s="8" t="n"/>
      <c r="K2" s="8" t="n"/>
      <c r="L2" s="8" t="inlineStr">
        <is>
          <t>Sem diário: só o total do mês e o total por professor</t>
        </is>
      </c>
    </row>
    <row r="3">
      <c r="A3" s="8" t="inlineStr">
        <is>
          <t>Março</t>
        </is>
      </c>
      <c r="B3" s="8" t="n"/>
      <c r="C3" s="8" t="n"/>
      <c r="D3" s="8" t="n"/>
      <c r="E3" s="8" t="n"/>
      <c r="F3" s="8" t="n"/>
      <c r="G3" s="8" t="n">
        <v>22</v>
      </c>
      <c r="H3" s="8" t="n">
        <v>19</v>
      </c>
      <c r="I3" s="8" t="n">
        <v>1</v>
      </c>
      <c r="J3" s="8" t="n">
        <v>1</v>
      </c>
      <c r="K3" s="8" t="n">
        <v>1</v>
      </c>
      <c r="L3" s="8" t="inlineStr">
        <is>
          <t>Diário tem a quantidade por dia; professor só no total do mês (44 de 49 identificados)</t>
        </is>
      </c>
    </row>
    <row r="4">
      <c r="A4" s="8" t="inlineStr">
        <is>
          <t>Abril</t>
        </is>
      </c>
      <c r="B4" s="8" t="n"/>
      <c r="C4" s="8" t="n"/>
      <c r="D4" s="8" t="n"/>
      <c r="E4" s="8" t="n"/>
      <c r="F4" s="8" t="n"/>
      <c r="G4" s="8" t="n">
        <v>25</v>
      </c>
      <c r="H4" s="8" t="n">
        <v>19</v>
      </c>
      <c r="I4" s="8" t="n"/>
      <c r="J4" s="8" t="n">
        <v>1</v>
      </c>
      <c r="K4" s="8" t="n">
        <v>4</v>
      </c>
      <c r="L4" s="8" t="inlineStr">
        <is>
          <t>Professor só no total do mês (49 de 50 identificados)</t>
        </is>
      </c>
    </row>
    <row r="5">
      <c r="A5" s="8" t="inlineStr">
        <is>
          <t>Maio</t>
        </is>
      </c>
      <c r="B5" s="8" t="n"/>
      <c r="C5" s="8" t="n">
        <v>23</v>
      </c>
      <c r="D5" s="8" t="n">
        <v>13</v>
      </c>
      <c r="E5" s="8" t="n"/>
      <c r="F5" s="8" t="n"/>
      <c r="G5" s="8" t="n">
        <v>16</v>
      </c>
      <c r="H5" s="8" t="n">
        <v>14</v>
      </c>
      <c r="I5" s="8" t="n">
        <v>3</v>
      </c>
      <c r="J5" s="8" t="n"/>
      <c r="K5" s="8" t="n">
        <v>3</v>
      </c>
      <c r="L5" s="8" t="inlineStr">
        <is>
          <t>Gênero e professor só no total do mês</t>
        </is>
      </c>
    </row>
    <row r="6">
      <c r="A6" s="8" t="inlineStr">
        <is>
          <t>Junho</t>
        </is>
      </c>
      <c r="B6" s="8" t="n"/>
      <c r="C6" s="8" t="n"/>
      <c r="D6" s="8" t="n"/>
      <c r="E6" s="8" t="n"/>
      <c r="F6" s="8" t="n"/>
      <c r="G6" s="8" t="n">
        <v>18</v>
      </c>
      <c r="H6" s="8" t="n">
        <v>21</v>
      </c>
      <c r="I6" s="8" t="n"/>
      <c r="J6" s="8" t="n">
        <v>1</v>
      </c>
      <c r="K6" s="8" t="n">
        <v>3</v>
      </c>
      <c r="L6" s="8" t="inlineStr">
        <is>
          <t>Gênero e perfil estão no diário; professor só no total do mês</t>
        </is>
      </c>
    </row>
    <row r="8">
      <c r="A8" s="9" t="inlineStr">
        <is>
          <t>Regra: o Consolidado soma o diário MAIS esta aba. Só ponha aqui o que NÃO está lançado dia a dia, para não contar duas vezes.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8" customWidth="1" min="5" max="5"/>
    <col width="10" customWidth="1" min="6" max="6"/>
    <col width="6.5" customWidth="1" min="7" max="7"/>
    <col width="6.5" customWidth="1" min="8" max="8"/>
    <col width="9" customWidth="1" min="9" max="9"/>
    <col width="8" customWidth="1" min="10" max="10"/>
    <col width="10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9" customWidth="1" min="17" max="17"/>
    <col width="8" customWidth="1" min="18" max="18"/>
    <col width="16" customWidth="1" min="19" max="19"/>
    <col width="15" customWidth="1" min="20" max="20"/>
    <col hidden="1" width="8" customWidth="1" min="21" max="21"/>
    <col hidden="1" width="13" customWidth="1" min="22" max="22"/>
  </cols>
  <sheetData>
    <row r="1" ht="30" customHeight="1">
      <c r="A1" s="1" t="inlineStr">
        <is>
          <t>Mês</t>
        </is>
      </c>
      <c r="B1" s="1" t="inlineStr">
        <is>
          <t>Meta</t>
        </is>
      </c>
      <c r="C1" s="1" t="inlineStr">
        <is>
          <t>Total</t>
        </is>
      </c>
      <c r="D1" s="1" t="inlineStr">
        <is>
          <t>% Meta</t>
        </is>
      </c>
      <c r="E1" s="1" t="inlineStr">
        <is>
          <t>Saldo</t>
        </is>
      </c>
      <c r="F1" s="1" t="inlineStr">
        <is>
          <t>Falta/dia</t>
        </is>
      </c>
      <c r="G1" s="1" t="inlineStr">
        <is>
          <t>M</t>
        </is>
      </c>
      <c r="H1" s="1" t="inlineStr">
        <is>
          <t>H</t>
        </is>
      </c>
      <c r="I1" s="1">
        <f>Diário_Avaliações!L$1</f>
        <v/>
      </c>
      <c r="J1" s="1">
        <f>Diário_Avaliações!M$1</f>
        <v/>
      </c>
      <c r="K1" s="1">
        <f>Diário_Avaliações!N$1</f>
        <v/>
      </c>
      <c r="L1" s="1">
        <f>Diário_Avaliações!O$1</f>
        <v/>
      </c>
      <c r="M1" s="1">
        <f>Diário_Avaliações!P$1</f>
        <v/>
      </c>
      <c r="N1" s="2">
        <f>Diário_Avaliações!Q$1</f>
        <v/>
      </c>
      <c r="O1" s="2">
        <f>Diário_Avaliações!R$1</f>
        <v/>
      </c>
      <c r="P1" s="2">
        <f>Diário_Avaliações!S$1</f>
        <v/>
      </c>
      <c r="Q1" s="1" t="inlineStr">
        <is>
          <t>Matric.</t>
        </is>
      </c>
      <c r="R1" s="1" t="inlineStr">
        <is>
          <t>Novo</t>
        </is>
      </c>
      <c r="S1" s="1" t="inlineStr">
        <is>
          <t>Origem dos dados</t>
        </is>
      </c>
      <c r="T1" s="1" t="inlineStr">
        <is>
          <t>Sem prof. identif.</t>
        </is>
      </c>
      <c r="U1" s="1" t="inlineStr">
        <is>
          <t>Nº Mês</t>
        </is>
      </c>
      <c r="V1" t="inlineStr">
        <is>
          <t>Dias restantes</t>
        </is>
      </c>
    </row>
    <row r="2" ht="19" customHeight="1">
      <c r="A2" s="4" t="inlineStr">
        <is>
          <t>Fevereiro</t>
        </is>
      </c>
      <c r="B2" s="5" t="n">
        <v>50</v>
      </c>
      <c r="C2" s="6">
        <f>SUMIF(Diário_Avaliações!$B:$B,$A2,Diário_Avaliações!$D:$D)+IFERROR(INDEX(Histórico_Manual!$B:$B,MATCH($A2,Histórico_Manual!$A:$A,0)),0)</f>
        <v/>
      </c>
      <c r="D2" s="7">
        <f>IF($B2=0,"",$C2/$B2)</f>
        <v/>
      </c>
      <c r="E2" s="6">
        <f>$C2-$B2</f>
        <v/>
      </c>
      <c r="F2" s="6">
        <f>IF($C2&gt;=$B2,0,IF($V2=0,"",ROUND(($B2-$C2)/$V2,1)))</f>
        <v/>
      </c>
      <c r="G2" s="6">
        <f>SUMIF(Diário_Avaliações!$B:$B,$A2,Diário_Avaliações!$K:$K)+IFERROR(INDEX(Histórico_Manual!$C:$C,MATCH($A2,Histórico_Manual!$A:$A,0)),0)</f>
        <v/>
      </c>
      <c r="H2" s="6">
        <f>SUMIF(Diário_Avaliações!$B:$B,$A2,Diário_Avaliações!$J:$J)+IFERROR(INDEX(Histórico_Manual!$D:$D,MATCH($A2,Histórico_Manual!$A:$A,0)),0)</f>
        <v/>
      </c>
      <c r="I2" s="6">
        <f>IF(OR(I$1="",I$1="(livre)"),"",IFERROR(SUMIF(Diário_Avaliações!$B:$B,$A2,INDEX(Diário_Avaliações!$L:$S,0,MATCH(I$1,Diário_Avaliações!$L$1:$S$1,0))),0)+IFERROR(INDEX(Histórico_Manual!$G:$K,MATCH($A2,Histórico_Manual!$A:$A,0),MATCH(I$1,Histórico_Manual!$G$1:$K$1,0)),0))</f>
        <v/>
      </c>
      <c r="J2" s="6">
        <f>IF(OR(J$1="",J$1="(livre)"),"",IFERROR(SUMIF(Diário_Avaliações!$B:$B,$A2,INDEX(Diário_Avaliações!$L:$S,0,MATCH(J$1,Diário_Avaliações!$L$1:$S$1,0))),0)+IFERROR(INDEX(Histórico_Manual!$G:$K,MATCH($A2,Histórico_Manual!$A:$A,0),MATCH(J$1,Histórico_Manual!$G$1:$K$1,0)),0))</f>
        <v/>
      </c>
      <c r="K2" s="6">
        <f>IF(OR(K$1="",K$1="(livre)"),"",IFERROR(SUMIF(Diário_Avaliações!$B:$B,$A2,INDEX(Diário_Avaliações!$L:$S,0,MATCH(K$1,Diário_Avaliações!$L$1:$S$1,0))),0)+IFERROR(INDEX(Histórico_Manual!$G:$K,MATCH($A2,Histórico_Manual!$A:$A,0),MATCH(K$1,Histórico_Manual!$G$1:$K$1,0)),0))</f>
        <v/>
      </c>
      <c r="L2" s="6">
        <f>IF(OR(L$1="",L$1="(livre)"),"",IFERROR(SUMIF(Diário_Avaliações!$B:$B,$A2,INDEX(Diário_Avaliações!$L:$S,0,MATCH(L$1,Diário_Avaliações!$L$1:$S$1,0))),0)+IFERROR(INDEX(Histórico_Manual!$G:$K,MATCH($A2,Histórico_Manual!$A:$A,0),MATCH(L$1,Histórico_Manual!$G$1:$K$1,0)),0))</f>
        <v/>
      </c>
      <c r="M2" s="6">
        <f>IF(OR(M$1="",M$1="(livre)"),"",IFERROR(SUMIF(Diário_Avaliações!$B:$B,$A2,INDEX(Diário_Avaliações!$L:$S,0,MATCH(M$1,Diário_Avaliações!$L$1:$S$1,0))),0)+IFERROR(INDEX(Histórico_Manual!$G:$K,MATCH($A2,Histórico_Manual!$A:$A,0),MATCH(M$1,Histórico_Manual!$G$1:$K$1,0)),0))</f>
        <v/>
      </c>
      <c r="N2" s="6">
        <f>IF(OR(N$1="",N$1="(livre)"),"",IFERROR(SUMIF(Diário_Avaliações!$B:$B,$A2,INDEX(Diário_Avaliações!$L:$S,0,MATCH(N$1,Diário_Avaliações!$L$1:$S$1,0))),0)+IFERROR(INDEX(Histórico_Manual!$G:$K,MATCH($A2,Histórico_Manual!$A:$A,0),MATCH(N$1,Histórico_Manual!$G$1:$K$1,0)),0))</f>
        <v/>
      </c>
      <c r="O2" s="6">
        <f>IF(OR(O$1="",O$1="(livre)"),"",IFERROR(SUMIF(Diário_Avaliações!$B:$B,$A2,INDEX(Diário_Avaliações!$L:$S,0,MATCH(O$1,Diário_Avaliações!$L$1:$S$1,0))),0)+IFERROR(INDEX(Histórico_Manual!$G:$K,MATCH($A2,Histórico_Manual!$A:$A,0),MATCH(O$1,Histórico_Manual!$G$1:$K$1,0)),0))</f>
        <v/>
      </c>
      <c r="P2" s="6">
        <f>IF(OR(P$1="",P$1="(livre)"),"",IFERROR(SUMIF(Diário_Avaliações!$B:$B,$A2,INDEX(Diário_Avaliações!$L:$S,0,MATCH(P$1,Diário_Avaliações!$L$1:$S$1,0))),0)+IFERROR(INDEX(Histórico_Manual!$G:$K,MATCH($A2,Histórico_Manual!$A:$A,0),MATCH(P$1,Histórico_Manual!$G$1:$K$1,0)),0))</f>
        <v/>
      </c>
      <c r="Q2" s="6">
        <f>SUMIF(Diário_Avaliações!$B:$B,$A2,Diário_Avaliações!$H:$H)+IFERROR(INDEX(Histórico_Manual!$E:$E,MATCH($A2,Histórico_Manual!$A:$A,0)),0)</f>
        <v/>
      </c>
      <c r="R2" s="6">
        <f>SUMIF(Diário_Avaliações!$B:$B,$A2,Diário_Avaliações!$I:$I)+IFERROR(INDEX(Histórico_Manual!$F:$F,MATCH($A2,Histórico_Manual!$A:$A,0)),0)</f>
        <v/>
      </c>
      <c r="S2" s="6">
        <f>IF($C2=0,"—",IF(SUMIF(Diário_Avaliações!$B:$B,$A2,Diário_Avaliações!$D:$D)=0,"Manual",IF(ISNUMBER(MATCH($A2,Histórico_Manual!$A:$A,0)),"Diário + manual","Diário")))</f>
        <v/>
      </c>
      <c r="T2" s="6">
        <f>IF($C2=0,"",$C2-SUM($I2:$P2))</f>
        <v/>
      </c>
      <c r="U2" s="6" t="n">
        <v>2</v>
      </c>
      <c r="V2">
        <f>MAX(0,DATE(2026,2,28)-MAX(TODAY(),DATE(2026,2,1))+1)</f>
        <v/>
      </c>
    </row>
    <row r="3" ht="19" customHeight="1">
      <c r="A3" s="4" t="inlineStr">
        <is>
          <t>Março</t>
        </is>
      </c>
      <c r="B3" s="5" t="n">
        <v>50</v>
      </c>
      <c r="C3" s="6">
        <f>SUMIF(Diário_Avaliações!$B:$B,$A3,Diário_Avaliações!$D:$D)+IFERROR(INDEX(Histórico_Manual!$B:$B,MATCH($A3,Histórico_Manual!$A:$A,0)),0)</f>
        <v/>
      </c>
      <c r="D3" s="7">
        <f>IF($B3=0,"",$C3/$B3)</f>
        <v/>
      </c>
      <c r="E3" s="6">
        <f>$C3-$B3</f>
        <v/>
      </c>
      <c r="F3" s="6">
        <f>IF($C3&gt;=$B3,0,IF($V3=0,"",ROUND(($B3-$C3)/$V3,1)))</f>
        <v/>
      </c>
      <c r="G3" s="6">
        <f>SUMIF(Diário_Avaliações!$B:$B,$A3,Diário_Avaliações!$K:$K)+IFERROR(INDEX(Histórico_Manual!$C:$C,MATCH($A3,Histórico_Manual!$A:$A,0)),0)</f>
        <v/>
      </c>
      <c r="H3" s="6">
        <f>SUMIF(Diário_Avaliações!$B:$B,$A3,Diário_Avaliações!$J:$J)+IFERROR(INDEX(Histórico_Manual!$D:$D,MATCH($A3,Histórico_Manual!$A:$A,0)),0)</f>
        <v/>
      </c>
      <c r="I3" s="6">
        <f>IF(OR(I$1="",I$1="(livre)"),"",IFERROR(SUMIF(Diário_Avaliações!$B:$B,$A3,INDEX(Diário_Avaliações!$L:$S,0,MATCH(I$1,Diário_Avaliações!$L$1:$S$1,0))),0)+IFERROR(INDEX(Histórico_Manual!$G:$K,MATCH($A3,Histórico_Manual!$A:$A,0),MATCH(I$1,Histórico_Manual!$G$1:$K$1,0)),0))</f>
        <v/>
      </c>
      <c r="J3" s="6">
        <f>IF(OR(J$1="",J$1="(livre)"),"",IFERROR(SUMIF(Diário_Avaliações!$B:$B,$A3,INDEX(Diário_Avaliações!$L:$S,0,MATCH(J$1,Diário_Avaliações!$L$1:$S$1,0))),0)+IFERROR(INDEX(Histórico_Manual!$G:$K,MATCH($A3,Histórico_Manual!$A:$A,0),MATCH(J$1,Histórico_Manual!$G$1:$K$1,0)),0))</f>
        <v/>
      </c>
      <c r="K3" s="6">
        <f>IF(OR(K$1="",K$1="(livre)"),"",IFERROR(SUMIF(Diário_Avaliações!$B:$B,$A3,INDEX(Diário_Avaliações!$L:$S,0,MATCH(K$1,Diário_Avaliações!$L$1:$S$1,0))),0)+IFERROR(INDEX(Histórico_Manual!$G:$K,MATCH($A3,Histórico_Manual!$A:$A,0),MATCH(K$1,Histórico_Manual!$G$1:$K$1,0)),0))</f>
        <v/>
      </c>
      <c r="L3" s="6">
        <f>IF(OR(L$1="",L$1="(livre)"),"",IFERROR(SUMIF(Diário_Avaliações!$B:$B,$A3,INDEX(Diário_Avaliações!$L:$S,0,MATCH(L$1,Diário_Avaliações!$L$1:$S$1,0))),0)+IFERROR(INDEX(Histórico_Manual!$G:$K,MATCH($A3,Histórico_Manual!$A:$A,0),MATCH(L$1,Histórico_Manual!$G$1:$K$1,0)),0))</f>
        <v/>
      </c>
      <c r="M3" s="6">
        <f>IF(OR(M$1="",M$1="(livre)"),"",IFERROR(SUMIF(Diário_Avaliações!$B:$B,$A3,INDEX(Diário_Avaliações!$L:$S,0,MATCH(M$1,Diário_Avaliações!$L$1:$S$1,0))),0)+IFERROR(INDEX(Histórico_Manual!$G:$K,MATCH($A3,Histórico_Manual!$A:$A,0),MATCH(M$1,Histórico_Manual!$G$1:$K$1,0)),0))</f>
        <v/>
      </c>
      <c r="N3" s="6">
        <f>IF(OR(N$1="",N$1="(livre)"),"",IFERROR(SUMIF(Diário_Avaliações!$B:$B,$A3,INDEX(Diário_Avaliações!$L:$S,0,MATCH(N$1,Diário_Avaliações!$L$1:$S$1,0))),0)+IFERROR(INDEX(Histórico_Manual!$G:$K,MATCH($A3,Histórico_Manual!$A:$A,0),MATCH(N$1,Histórico_Manual!$G$1:$K$1,0)),0))</f>
        <v/>
      </c>
      <c r="O3" s="6">
        <f>IF(OR(O$1="",O$1="(livre)"),"",IFERROR(SUMIF(Diário_Avaliações!$B:$B,$A3,INDEX(Diário_Avaliações!$L:$S,0,MATCH(O$1,Diário_Avaliações!$L$1:$S$1,0))),0)+IFERROR(INDEX(Histórico_Manual!$G:$K,MATCH($A3,Histórico_Manual!$A:$A,0),MATCH(O$1,Histórico_Manual!$G$1:$K$1,0)),0))</f>
        <v/>
      </c>
      <c r="P3" s="6">
        <f>IF(OR(P$1="",P$1="(livre)"),"",IFERROR(SUMIF(Diário_Avaliações!$B:$B,$A3,INDEX(Diário_Avaliações!$L:$S,0,MATCH(P$1,Diário_Avaliações!$L$1:$S$1,0))),0)+IFERROR(INDEX(Histórico_Manual!$G:$K,MATCH($A3,Histórico_Manual!$A:$A,0),MATCH(P$1,Histórico_Manual!$G$1:$K$1,0)),0))</f>
        <v/>
      </c>
      <c r="Q3" s="6">
        <f>SUMIF(Diário_Avaliações!$B:$B,$A3,Diário_Avaliações!$H:$H)+IFERROR(INDEX(Histórico_Manual!$E:$E,MATCH($A3,Histórico_Manual!$A:$A,0)),0)</f>
        <v/>
      </c>
      <c r="R3" s="6">
        <f>SUMIF(Diário_Avaliações!$B:$B,$A3,Diário_Avaliações!$I:$I)+IFERROR(INDEX(Histórico_Manual!$F:$F,MATCH($A3,Histórico_Manual!$A:$A,0)),0)</f>
        <v/>
      </c>
      <c r="S3" s="6">
        <f>IF($C3=0,"—",IF(SUMIF(Diário_Avaliações!$B:$B,$A3,Diário_Avaliações!$D:$D)=0,"Manual",IF(ISNUMBER(MATCH($A3,Histórico_Manual!$A:$A,0)),"Diário + manual","Diário")))</f>
        <v/>
      </c>
      <c r="T3" s="6">
        <f>IF($C3=0,"",$C3-SUM($I3:$P3))</f>
        <v/>
      </c>
      <c r="U3" s="6" t="n">
        <v>3</v>
      </c>
      <c r="V3">
        <f>MAX(0,DATE(2026,3,31)-MAX(TODAY(),DATE(2026,3,1))+1)</f>
        <v/>
      </c>
    </row>
    <row r="4" ht="19" customHeight="1">
      <c r="A4" s="4" t="inlineStr">
        <is>
          <t>Abril</t>
        </is>
      </c>
      <c r="B4" s="5" t="n">
        <v>50</v>
      </c>
      <c r="C4" s="6">
        <f>SUMIF(Diário_Avaliações!$B:$B,$A4,Diário_Avaliações!$D:$D)+IFERROR(INDEX(Histórico_Manual!$B:$B,MATCH($A4,Histórico_Manual!$A:$A,0)),0)</f>
        <v/>
      </c>
      <c r="D4" s="7">
        <f>IF($B4=0,"",$C4/$B4)</f>
        <v/>
      </c>
      <c r="E4" s="6">
        <f>$C4-$B4</f>
        <v/>
      </c>
      <c r="F4" s="6">
        <f>IF($C4&gt;=$B4,0,IF($V4=0,"",ROUND(($B4-$C4)/$V4,1)))</f>
        <v/>
      </c>
      <c r="G4" s="6">
        <f>SUMIF(Diário_Avaliações!$B:$B,$A4,Diário_Avaliações!$K:$K)+IFERROR(INDEX(Histórico_Manual!$C:$C,MATCH($A4,Histórico_Manual!$A:$A,0)),0)</f>
        <v/>
      </c>
      <c r="H4" s="6">
        <f>SUMIF(Diário_Avaliações!$B:$B,$A4,Diário_Avaliações!$J:$J)+IFERROR(INDEX(Histórico_Manual!$D:$D,MATCH($A4,Histórico_Manual!$A:$A,0)),0)</f>
        <v/>
      </c>
      <c r="I4" s="6">
        <f>IF(OR(I$1="",I$1="(livre)"),"",IFERROR(SUMIF(Diário_Avaliações!$B:$B,$A4,INDEX(Diário_Avaliações!$L:$S,0,MATCH(I$1,Diário_Avaliações!$L$1:$S$1,0))),0)+IFERROR(INDEX(Histórico_Manual!$G:$K,MATCH($A4,Histórico_Manual!$A:$A,0),MATCH(I$1,Histórico_Manual!$G$1:$K$1,0)),0))</f>
        <v/>
      </c>
      <c r="J4" s="6">
        <f>IF(OR(J$1="",J$1="(livre)"),"",IFERROR(SUMIF(Diário_Avaliações!$B:$B,$A4,INDEX(Diário_Avaliações!$L:$S,0,MATCH(J$1,Diário_Avaliações!$L$1:$S$1,0))),0)+IFERROR(INDEX(Histórico_Manual!$G:$K,MATCH($A4,Histórico_Manual!$A:$A,0),MATCH(J$1,Histórico_Manual!$G$1:$K$1,0)),0))</f>
        <v/>
      </c>
      <c r="K4" s="6">
        <f>IF(OR(K$1="",K$1="(livre)"),"",IFERROR(SUMIF(Diário_Avaliações!$B:$B,$A4,INDEX(Diário_Avaliações!$L:$S,0,MATCH(K$1,Diário_Avaliações!$L$1:$S$1,0))),0)+IFERROR(INDEX(Histórico_Manual!$G:$K,MATCH($A4,Histórico_Manual!$A:$A,0),MATCH(K$1,Histórico_Manual!$G$1:$K$1,0)),0))</f>
        <v/>
      </c>
      <c r="L4" s="6">
        <f>IF(OR(L$1="",L$1="(livre)"),"",IFERROR(SUMIF(Diário_Avaliações!$B:$B,$A4,INDEX(Diário_Avaliações!$L:$S,0,MATCH(L$1,Diário_Avaliações!$L$1:$S$1,0))),0)+IFERROR(INDEX(Histórico_Manual!$G:$K,MATCH($A4,Histórico_Manual!$A:$A,0),MATCH(L$1,Histórico_Manual!$G$1:$K$1,0)),0))</f>
        <v/>
      </c>
      <c r="M4" s="6">
        <f>IF(OR(M$1="",M$1="(livre)"),"",IFERROR(SUMIF(Diário_Avaliações!$B:$B,$A4,INDEX(Diário_Avaliações!$L:$S,0,MATCH(M$1,Diário_Avaliações!$L$1:$S$1,0))),0)+IFERROR(INDEX(Histórico_Manual!$G:$K,MATCH($A4,Histórico_Manual!$A:$A,0),MATCH(M$1,Histórico_Manual!$G$1:$K$1,0)),0))</f>
        <v/>
      </c>
      <c r="N4" s="6">
        <f>IF(OR(N$1="",N$1="(livre)"),"",IFERROR(SUMIF(Diário_Avaliações!$B:$B,$A4,INDEX(Diário_Avaliações!$L:$S,0,MATCH(N$1,Diário_Avaliações!$L$1:$S$1,0))),0)+IFERROR(INDEX(Histórico_Manual!$G:$K,MATCH($A4,Histórico_Manual!$A:$A,0),MATCH(N$1,Histórico_Manual!$G$1:$K$1,0)),0))</f>
        <v/>
      </c>
      <c r="O4" s="6">
        <f>IF(OR(O$1="",O$1="(livre)"),"",IFERROR(SUMIF(Diário_Avaliações!$B:$B,$A4,INDEX(Diário_Avaliações!$L:$S,0,MATCH(O$1,Diário_Avaliações!$L$1:$S$1,0))),0)+IFERROR(INDEX(Histórico_Manual!$G:$K,MATCH($A4,Histórico_Manual!$A:$A,0),MATCH(O$1,Histórico_Manual!$G$1:$K$1,0)),0))</f>
        <v/>
      </c>
      <c r="P4" s="6">
        <f>IF(OR(P$1="",P$1="(livre)"),"",IFERROR(SUMIF(Diário_Avaliações!$B:$B,$A4,INDEX(Diário_Avaliações!$L:$S,0,MATCH(P$1,Diário_Avaliações!$L$1:$S$1,0))),0)+IFERROR(INDEX(Histórico_Manual!$G:$K,MATCH($A4,Histórico_Manual!$A:$A,0),MATCH(P$1,Histórico_Manual!$G$1:$K$1,0)),0))</f>
        <v/>
      </c>
      <c r="Q4" s="6">
        <f>SUMIF(Diário_Avaliações!$B:$B,$A4,Diário_Avaliações!$H:$H)+IFERROR(INDEX(Histórico_Manual!$E:$E,MATCH($A4,Histórico_Manual!$A:$A,0)),0)</f>
        <v/>
      </c>
      <c r="R4" s="6">
        <f>SUMIF(Diário_Avaliações!$B:$B,$A4,Diário_Avaliações!$I:$I)+IFERROR(INDEX(Histórico_Manual!$F:$F,MATCH($A4,Histórico_Manual!$A:$A,0)),0)</f>
        <v/>
      </c>
      <c r="S4" s="6">
        <f>IF($C4=0,"—",IF(SUMIF(Diário_Avaliações!$B:$B,$A4,Diário_Avaliações!$D:$D)=0,"Manual",IF(ISNUMBER(MATCH($A4,Histórico_Manual!$A:$A,0)),"Diário + manual","Diário")))</f>
        <v/>
      </c>
      <c r="T4" s="6">
        <f>IF($C4=0,"",$C4-SUM($I4:$P4))</f>
        <v/>
      </c>
      <c r="U4" s="6" t="n">
        <v>4</v>
      </c>
      <c r="V4">
        <f>MAX(0,DATE(2026,4,30)-MAX(TODAY(),DATE(2026,4,1))+1)</f>
        <v/>
      </c>
    </row>
    <row r="5" ht="19" customHeight="1">
      <c r="A5" s="4" t="inlineStr">
        <is>
          <t>Maio</t>
        </is>
      </c>
      <c r="B5" s="5" t="n">
        <v>50</v>
      </c>
      <c r="C5" s="6">
        <f>SUMIF(Diário_Avaliações!$B:$B,$A5,Diário_Avaliações!$D:$D)+IFERROR(INDEX(Histórico_Manual!$B:$B,MATCH($A5,Histórico_Manual!$A:$A,0)),0)</f>
        <v/>
      </c>
      <c r="D5" s="7">
        <f>IF($B5=0,"",$C5/$B5)</f>
        <v/>
      </c>
      <c r="E5" s="6">
        <f>$C5-$B5</f>
        <v/>
      </c>
      <c r="F5" s="6">
        <f>IF($C5&gt;=$B5,0,IF($V5=0,"",ROUND(($B5-$C5)/$V5,1)))</f>
        <v/>
      </c>
      <c r="G5" s="6">
        <f>SUMIF(Diário_Avaliações!$B:$B,$A5,Diário_Avaliações!$K:$K)+IFERROR(INDEX(Histórico_Manual!$C:$C,MATCH($A5,Histórico_Manual!$A:$A,0)),0)</f>
        <v/>
      </c>
      <c r="H5" s="6">
        <f>SUMIF(Diário_Avaliações!$B:$B,$A5,Diário_Avaliações!$J:$J)+IFERROR(INDEX(Histórico_Manual!$D:$D,MATCH($A5,Histórico_Manual!$A:$A,0)),0)</f>
        <v/>
      </c>
      <c r="I5" s="6">
        <f>IF(OR(I$1="",I$1="(livre)"),"",IFERROR(SUMIF(Diário_Avaliações!$B:$B,$A5,INDEX(Diário_Avaliações!$L:$S,0,MATCH(I$1,Diário_Avaliações!$L$1:$S$1,0))),0)+IFERROR(INDEX(Histórico_Manual!$G:$K,MATCH($A5,Histórico_Manual!$A:$A,0),MATCH(I$1,Histórico_Manual!$G$1:$K$1,0)),0))</f>
        <v/>
      </c>
      <c r="J5" s="6">
        <f>IF(OR(J$1="",J$1="(livre)"),"",IFERROR(SUMIF(Diário_Avaliações!$B:$B,$A5,INDEX(Diário_Avaliações!$L:$S,0,MATCH(J$1,Diário_Avaliações!$L$1:$S$1,0))),0)+IFERROR(INDEX(Histórico_Manual!$G:$K,MATCH($A5,Histórico_Manual!$A:$A,0),MATCH(J$1,Histórico_Manual!$G$1:$K$1,0)),0))</f>
        <v/>
      </c>
      <c r="K5" s="6">
        <f>IF(OR(K$1="",K$1="(livre)"),"",IFERROR(SUMIF(Diário_Avaliações!$B:$B,$A5,INDEX(Diário_Avaliações!$L:$S,0,MATCH(K$1,Diário_Avaliações!$L$1:$S$1,0))),0)+IFERROR(INDEX(Histórico_Manual!$G:$K,MATCH($A5,Histórico_Manual!$A:$A,0),MATCH(K$1,Histórico_Manual!$G$1:$K$1,0)),0))</f>
        <v/>
      </c>
      <c r="L5" s="6">
        <f>IF(OR(L$1="",L$1="(livre)"),"",IFERROR(SUMIF(Diário_Avaliações!$B:$B,$A5,INDEX(Diário_Avaliações!$L:$S,0,MATCH(L$1,Diário_Avaliações!$L$1:$S$1,0))),0)+IFERROR(INDEX(Histórico_Manual!$G:$K,MATCH($A5,Histórico_Manual!$A:$A,0),MATCH(L$1,Histórico_Manual!$G$1:$K$1,0)),0))</f>
        <v/>
      </c>
      <c r="M5" s="6">
        <f>IF(OR(M$1="",M$1="(livre)"),"",IFERROR(SUMIF(Diário_Avaliações!$B:$B,$A5,INDEX(Diário_Avaliações!$L:$S,0,MATCH(M$1,Diário_Avaliações!$L$1:$S$1,0))),0)+IFERROR(INDEX(Histórico_Manual!$G:$K,MATCH($A5,Histórico_Manual!$A:$A,0),MATCH(M$1,Histórico_Manual!$G$1:$K$1,0)),0))</f>
        <v/>
      </c>
      <c r="N5" s="6">
        <f>IF(OR(N$1="",N$1="(livre)"),"",IFERROR(SUMIF(Diário_Avaliações!$B:$B,$A5,INDEX(Diário_Avaliações!$L:$S,0,MATCH(N$1,Diário_Avaliações!$L$1:$S$1,0))),0)+IFERROR(INDEX(Histórico_Manual!$G:$K,MATCH($A5,Histórico_Manual!$A:$A,0),MATCH(N$1,Histórico_Manual!$G$1:$K$1,0)),0))</f>
        <v/>
      </c>
      <c r="O5" s="6">
        <f>IF(OR(O$1="",O$1="(livre)"),"",IFERROR(SUMIF(Diário_Avaliações!$B:$B,$A5,INDEX(Diário_Avaliações!$L:$S,0,MATCH(O$1,Diário_Avaliações!$L$1:$S$1,0))),0)+IFERROR(INDEX(Histórico_Manual!$G:$K,MATCH($A5,Histórico_Manual!$A:$A,0),MATCH(O$1,Histórico_Manual!$G$1:$K$1,0)),0))</f>
        <v/>
      </c>
      <c r="P5" s="6">
        <f>IF(OR(P$1="",P$1="(livre)"),"",IFERROR(SUMIF(Diário_Avaliações!$B:$B,$A5,INDEX(Diário_Avaliações!$L:$S,0,MATCH(P$1,Diário_Avaliações!$L$1:$S$1,0))),0)+IFERROR(INDEX(Histórico_Manual!$G:$K,MATCH($A5,Histórico_Manual!$A:$A,0),MATCH(P$1,Histórico_Manual!$G$1:$K$1,0)),0))</f>
        <v/>
      </c>
      <c r="Q5" s="6">
        <f>SUMIF(Diário_Avaliações!$B:$B,$A5,Diário_Avaliações!$H:$H)+IFERROR(INDEX(Histórico_Manual!$E:$E,MATCH($A5,Histórico_Manual!$A:$A,0)),0)</f>
        <v/>
      </c>
      <c r="R5" s="6">
        <f>SUMIF(Diário_Avaliações!$B:$B,$A5,Diário_Avaliações!$I:$I)+IFERROR(INDEX(Histórico_Manual!$F:$F,MATCH($A5,Histórico_Manual!$A:$A,0)),0)</f>
        <v/>
      </c>
      <c r="S5" s="6">
        <f>IF($C5=0,"—",IF(SUMIF(Diário_Avaliações!$B:$B,$A5,Diário_Avaliações!$D:$D)=0,"Manual",IF(ISNUMBER(MATCH($A5,Histórico_Manual!$A:$A,0)),"Diário + manual","Diário")))</f>
        <v/>
      </c>
      <c r="T5" s="6">
        <f>IF($C5=0,"",$C5-SUM($I5:$P5))</f>
        <v/>
      </c>
      <c r="U5" s="6" t="n">
        <v>5</v>
      </c>
      <c r="V5">
        <f>MAX(0,DATE(2026,5,31)-MAX(TODAY(),DATE(2026,5,1))+1)</f>
        <v/>
      </c>
    </row>
    <row r="6" ht="19" customHeight="1">
      <c r="A6" s="4" t="inlineStr">
        <is>
          <t>Junho</t>
        </is>
      </c>
      <c r="B6" s="5" t="n">
        <v>50</v>
      </c>
      <c r="C6" s="6">
        <f>SUMIF(Diário_Avaliações!$B:$B,$A6,Diário_Avaliações!$D:$D)+IFERROR(INDEX(Histórico_Manual!$B:$B,MATCH($A6,Histórico_Manual!$A:$A,0)),0)</f>
        <v/>
      </c>
      <c r="D6" s="7">
        <f>IF($B6=0,"",$C6/$B6)</f>
        <v/>
      </c>
      <c r="E6" s="6">
        <f>$C6-$B6</f>
        <v/>
      </c>
      <c r="F6" s="6">
        <f>IF($C6&gt;=$B6,0,IF($V6=0,"",ROUND(($B6-$C6)/$V6,1)))</f>
        <v/>
      </c>
      <c r="G6" s="6">
        <f>SUMIF(Diário_Avaliações!$B:$B,$A6,Diário_Avaliações!$K:$K)+IFERROR(INDEX(Histórico_Manual!$C:$C,MATCH($A6,Histórico_Manual!$A:$A,0)),0)</f>
        <v/>
      </c>
      <c r="H6" s="6">
        <f>SUMIF(Diário_Avaliações!$B:$B,$A6,Diário_Avaliações!$J:$J)+IFERROR(INDEX(Histórico_Manual!$D:$D,MATCH($A6,Histórico_Manual!$A:$A,0)),0)</f>
        <v/>
      </c>
      <c r="I6" s="6">
        <f>IF(OR(I$1="",I$1="(livre)"),"",IFERROR(SUMIF(Diário_Avaliações!$B:$B,$A6,INDEX(Diário_Avaliações!$L:$S,0,MATCH(I$1,Diário_Avaliações!$L$1:$S$1,0))),0)+IFERROR(INDEX(Histórico_Manual!$G:$K,MATCH($A6,Histórico_Manual!$A:$A,0),MATCH(I$1,Histórico_Manual!$G$1:$K$1,0)),0))</f>
        <v/>
      </c>
      <c r="J6" s="6">
        <f>IF(OR(J$1="",J$1="(livre)"),"",IFERROR(SUMIF(Diário_Avaliações!$B:$B,$A6,INDEX(Diário_Avaliações!$L:$S,0,MATCH(J$1,Diário_Avaliações!$L$1:$S$1,0))),0)+IFERROR(INDEX(Histórico_Manual!$G:$K,MATCH($A6,Histórico_Manual!$A:$A,0),MATCH(J$1,Histórico_Manual!$G$1:$K$1,0)),0))</f>
        <v/>
      </c>
      <c r="K6" s="6">
        <f>IF(OR(K$1="",K$1="(livre)"),"",IFERROR(SUMIF(Diário_Avaliações!$B:$B,$A6,INDEX(Diário_Avaliações!$L:$S,0,MATCH(K$1,Diário_Avaliações!$L$1:$S$1,0))),0)+IFERROR(INDEX(Histórico_Manual!$G:$K,MATCH($A6,Histórico_Manual!$A:$A,0),MATCH(K$1,Histórico_Manual!$G$1:$K$1,0)),0))</f>
        <v/>
      </c>
      <c r="L6" s="6">
        <f>IF(OR(L$1="",L$1="(livre)"),"",IFERROR(SUMIF(Diário_Avaliações!$B:$B,$A6,INDEX(Diário_Avaliações!$L:$S,0,MATCH(L$1,Diário_Avaliações!$L$1:$S$1,0))),0)+IFERROR(INDEX(Histórico_Manual!$G:$K,MATCH($A6,Histórico_Manual!$A:$A,0),MATCH(L$1,Histórico_Manual!$G$1:$K$1,0)),0))</f>
        <v/>
      </c>
      <c r="M6" s="6">
        <f>IF(OR(M$1="",M$1="(livre)"),"",IFERROR(SUMIF(Diário_Avaliações!$B:$B,$A6,INDEX(Diário_Avaliações!$L:$S,0,MATCH(M$1,Diário_Avaliações!$L$1:$S$1,0))),0)+IFERROR(INDEX(Histórico_Manual!$G:$K,MATCH($A6,Histórico_Manual!$A:$A,0),MATCH(M$1,Histórico_Manual!$G$1:$K$1,0)),0))</f>
        <v/>
      </c>
      <c r="N6" s="6">
        <f>IF(OR(N$1="",N$1="(livre)"),"",IFERROR(SUMIF(Diário_Avaliações!$B:$B,$A6,INDEX(Diário_Avaliações!$L:$S,0,MATCH(N$1,Diário_Avaliações!$L$1:$S$1,0))),0)+IFERROR(INDEX(Histórico_Manual!$G:$K,MATCH($A6,Histórico_Manual!$A:$A,0),MATCH(N$1,Histórico_Manual!$G$1:$K$1,0)),0))</f>
        <v/>
      </c>
      <c r="O6" s="6">
        <f>IF(OR(O$1="",O$1="(livre)"),"",IFERROR(SUMIF(Diário_Avaliações!$B:$B,$A6,INDEX(Diário_Avaliações!$L:$S,0,MATCH(O$1,Diário_Avaliações!$L$1:$S$1,0))),0)+IFERROR(INDEX(Histórico_Manual!$G:$K,MATCH($A6,Histórico_Manual!$A:$A,0),MATCH(O$1,Histórico_Manual!$G$1:$K$1,0)),0))</f>
        <v/>
      </c>
      <c r="P6" s="6">
        <f>IF(OR(P$1="",P$1="(livre)"),"",IFERROR(SUMIF(Diário_Avaliações!$B:$B,$A6,INDEX(Diário_Avaliações!$L:$S,0,MATCH(P$1,Diário_Avaliações!$L$1:$S$1,0))),0)+IFERROR(INDEX(Histórico_Manual!$G:$K,MATCH($A6,Histórico_Manual!$A:$A,0),MATCH(P$1,Histórico_Manual!$G$1:$K$1,0)),0))</f>
        <v/>
      </c>
      <c r="Q6" s="6">
        <f>SUMIF(Diário_Avaliações!$B:$B,$A6,Diário_Avaliações!$H:$H)+IFERROR(INDEX(Histórico_Manual!$E:$E,MATCH($A6,Histórico_Manual!$A:$A,0)),0)</f>
        <v/>
      </c>
      <c r="R6" s="6">
        <f>SUMIF(Diário_Avaliações!$B:$B,$A6,Diário_Avaliações!$I:$I)+IFERROR(INDEX(Histórico_Manual!$F:$F,MATCH($A6,Histórico_Manual!$A:$A,0)),0)</f>
        <v/>
      </c>
      <c r="S6" s="6">
        <f>IF($C6=0,"—",IF(SUMIF(Diário_Avaliações!$B:$B,$A6,Diário_Avaliações!$D:$D)=0,"Manual",IF(ISNUMBER(MATCH($A6,Histórico_Manual!$A:$A,0)),"Diário + manual","Diário")))</f>
        <v/>
      </c>
      <c r="T6" s="6">
        <f>IF($C6=0,"",$C6-SUM($I6:$P6))</f>
        <v/>
      </c>
      <c r="U6" s="6" t="n">
        <v>6</v>
      </c>
      <c r="V6">
        <f>MAX(0,DATE(2026,6,30)-MAX(TODAY(),DATE(2026,6,1))+1)</f>
        <v/>
      </c>
    </row>
    <row r="7" ht="19" customHeight="1">
      <c r="A7" s="4" t="inlineStr">
        <is>
          <t>Julho</t>
        </is>
      </c>
      <c r="B7" s="5" t="n">
        <v>50</v>
      </c>
      <c r="C7" s="6">
        <f>SUMIF(Diário_Avaliações!$B:$B,$A7,Diário_Avaliações!$D:$D)+IFERROR(INDEX(Histórico_Manual!$B:$B,MATCH($A7,Histórico_Manual!$A:$A,0)),0)</f>
        <v/>
      </c>
      <c r="D7" s="7">
        <f>IF($B7=0,"",$C7/$B7)</f>
        <v/>
      </c>
      <c r="E7" s="6">
        <f>$C7-$B7</f>
        <v/>
      </c>
      <c r="F7" s="6">
        <f>IF($C7&gt;=$B7,0,IF($V7=0,"",ROUND(($B7-$C7)/$V7,1)))</f>
        <v/>
      </c>
      <c r="G7" s="6">
        <f>SUMIF(Diário_Avaliações!$B:$B,$A7,Diário_Avaliações!$K:$K)+IFERROR(INDEX(Histórico_Manual!$C:$C,MATCH($A7,Histórico_Manual!$A:$A,0)),0)</f>
        <v/>
      </c>
      <c r="H7" s="6">
        <f>SUMIF(Diário_Avaliações!$B:$B,$A7,Diário_Avaliações!$J:$J)+IFERROR(INDEX(Histórico_Manual!$D:$D,MATCH($A7,Histórico_Manual!$A:$A,0)),0)</f>
        <v/>
      </c>
      <c r="I7" s="6">
        <f>IF(OR(I$1="",I$1="(livre)"),"",IFERROR(SUMIF(Diário_Avaliações!$B:$B,$A7,INDEX(Diário_Avaliações!$L:$S,0,MATCH(I$1,Diário_Avaliações!$L$1:$S$1,0))),0)+IFERROR(INDEX(Histórico_Manual!$G:$K,MATCH($A7,Histórico_Manual!$A:$A,0),MATCH(I$1,Histórico_Manual!$G$1:$K$1,0)),0))</f>
        <v/>
      </c>
      <c r="J7" s="6">
        <f>IF(OR(J$1="",J$1="(livre)"),"",IFERROR(SUMIF(Diário_Avaliações!$B:$B,$A7,INDEX(Diário_Avaliações!$L:$S,0,MATCH(J$1,Diário_Avaliações!$L$1:$S$1,0))),0)+IFERROR(INDEX(Histórico_Manual!$G:$K,MATCH($A7,Histórico_Manual!$A:$A,0),MATCH(J$1,Histórico_Manual!$G$1:$K$1,0)),0))</f>
        <v/>
      </c>
      <c r="K7" s="6">
        <f>IF(OR(K$1="",K$1="(livre)"),"",IFERROR(SUMIF(Diário_Avaliações!$B:$B,$A7,INDEX(Diário_Avaliações!$L:$S,0,MATCH(K$1,Diário_Avaliações!$L$1:$S$1,0))),0)+IFERROR(INDEX(Histórico_Manual!$G:$K,MATCH($A7,Histórico_Manual!$A:$A,0),MATCH(K$1,Histórico_Manual!$G$1:$K$1,0)),0))</f>
        <v/>
      </c>
      <c r="L7" s="6">
        <f>IF(OR(L$1="",L$1="(livre)"),"",IFERROR(SUMIF(Diário_Avaliações!$B:$B,$A7,INDEX(Diário_Avaliações!$L:$S,0,MATCH(L$1,Diário_Avaliações!$L$1:$S$1,0))),0)+IFERROR(INDEX(Histórico_Manual!$G:$K,MATCH($A7,Histórico_Manual!$A:$A,0),MATCH(L$1,Histórico_Manual!$G$1:$K$1,0)),0))</f>
        <v/>
      </c>
      <c r="M7" s="6">
        <f>IF(OR(M$1="",M$1="(livre)"),"",IFERROR(SUMIF(Diário_Avaliações!$B:$B,$A7,INDEX(Diário_Avaliações!$L:$S,0,MATCH(M$1,Diário_Avaliações!$L$1:$S$1,0))),0)+IFERROR(INDEX(Histórico_Manual!$G:$K,MATCH($A7,Histórico_Manual!$A:$A,0),MATCH(M$1,Histórico_Manual!$G$1:$K$1,0)),0))</f>
        <v/>
      </c>
      <c r="N7" s="6">
        <f>IF(OR(N$1="",N$1="(livre)"),"",IFERROR(SUMIF(Diário_Avaliações!$B:$B,$A7,INDEX(Diário_Avaliações!$L:$S,0,MATCH(N$1,Diário_Avaliações!$L$1:$S$1,0))),0)+IFERROR(INDEX(Histórico_Manual!$G:$K,MATCH($A7,Histórico_Manual!$A:$A,0),MATCH(N$1,Histórico_Manual!$G$1:$K$1,0)),0))</f>
        <v/>
      </c>
      <c r="O7" s="6">
        <f>IF(OR(O$1="",O$1="(livre)"),"",IFERROR(SUMIF(Diário_Avaliações!$B:$B,$A7,INDEX(Diário_Avaliações!$L:$S,0,MATCH(O$1,Diário_Avaliações!$L$1:$S$1,0))),0)+IFERROR(INDEX(Histórico_Manual!$G:$K,MATCH($A7,Histórico_Manual!$A:$A,0),MATCH(O$1,Histórico_Manual!$G$1:$K$1,0)),0))</f>
        <v/>
      </c>
      <c r="P7" s="6">
        <f>IF(OR(P$1="",P$1="(livre)"),"",IFERROR(SUMIF(Diário_Avaliações!$B:$B,$A7,INDEX(Diário_Avaliações!$L:$S,0,MATCH(P$1,Diário_Avaliações!$L$1:$S$1,0))),0)+IFERROR(INDEX(Histórico_Manual!$G:$K,MATCH($A7,Histórico_Manual!$A:$A,0),MATCH(P$1,Histórico_Manual!$G$1:$K$1,0)),0))</f>
        <v/>
      </c>
      <c r="Q7" s="6">
        <f>SUMIF(Diário_Avaliações!$B:$B,$A7,Diário_Avaliações!$H:$H)+IFERROR(INDEX(Histórico_Manual!$E:$E,MATCH($A7,Histórico_Manual!$A:$A,0)),0)</f>
        <v/>
      </c>
      <c r="R7" s="6">
        <f>SUMIF(Diário_Avaliações!$B:$B,$A7,Diário_Avaliações!$I:$I)+IFERROR(INDEX(Histórico_Manual!$F:$F,MATCH($A7,Histórico_Manual!$A:$A,0)),0)</f>
        <v/>
      </c>
      <c r="S7" s="6">
        <f>IF($C7=0,"—",IF(SUMIF(Diário_Avaliações!$B:$B,$A7,Diário_Avaliações!$D:$D)=0,"Manual",IF(ISNUMBER(MATCH($A7,Histórico_Manual!$A:$A,0)),"Diário + manual","Diário")))</f>
        <v/>
      </c>
      <c r="T7" s="6">
        <f>IF($C7=0,"",$C7-SUM($I7:$P7))</f>
        <v/>
      </c>
      <c r="U7" s="6" t="n">
        <v>7</v>
      </c>
      <c r="V7">
        <f>MAX(0,DATE(2026,7,31)-MAX(TODAY(),DATE(2026,7,1))+1)</f>
        <v/>
      </c>
    </row>
    <row r="8" ht="19" customHeight="1">
      <c r="A8" s="4" t="inlineStr">
        <is>
          <t>Agosto</t>
        </is>
      </c>
      <c r="B8" s="5" t="n">
        <v>50</v>
      </c>
      <c r="C8" s="6">
        <f>SUMIF(Diário_Avaliações!$B:$B,$A8,Diário_Avaliações!$D:$D)+IFERROR(INDEX(Histórico_Manual!$B:$B,MATCH($A8,Histórico_Manual!$A:$A,0)),0)</f>
        <v/>
      </c>
      <c r="D8" s="7">
        <f>IF($B8=0,"",$C8/$B8)</f>
        <v/>
      </c>
      <c r="E8" s="6">
        <f>$C8-$B8</f>
        <v/>
      </c>
      <c r="F8" s="6">
        <f>IF($C8&gt;=$B8,0,IF($V8=0,"",ROUND(($B8-$C8)/$V8,1)))</f>
        <v/>
      </c>
      <c r="G8" s="6">
        <f>SUMIF(Diário_Avaliações!$B:$B,$A8,Diário_Avaliações!$K:$K)+IFERROR(INDEX(Histórico_Manual!$C:$C,MATCH($A8,Histórico_Manual!$A:$A,0)),0)</f>
        <v/>
      </c>
      <c r="H8" s="6">
        <f>SUMIF(Diário_Avaliações!$B:$B,$A8,Diário_Avaliações!$J:$J)+IFERROR(INDEX(Histórico_Manual!$D:$D,MATCH($A8,Histórico_Manual!$A:$A,0)),0)</f>
        <v/>
      </c>
      <c r="I8" s="6">
        <f>IF(OR(I$1="",I$1="(livre)"),"",IFERROR(SUMIF(Diário_Avaliações!$B:$B,$A8,INDEX(Diário_Avaliações!$L:$S,0,MATCH(I$1,Diário_Avaliações!$L$1:$S$1,0))),0)+IFERROR(INDEX(Histórico_Manual!$G:$K,MATCH($A8,Histórico_Manual!$A:$A,0),MATCH(I$1,Histórico_Manual!$G$1:$K$1,0)),0))</f>
        <v/>
      </c>
      <c r="J8" s="6">
        <f>IF(OR(J$1="",J$1="(livre)"),"",IFERROR(SUMIF(Diário_Avaliações!$B:$B,$A8,INDEX(Diário_Avaliações!$L:$S,0,MATCH(J$1,Diário_Avaliações!$L$1:$S$1,0))),0)+IFERROR(INDEX(Histórico_Manual!$G:$K,MATCH($A8,Histórico_Manual!$A:$A,0),MATCH(J$1,Histórico_Manual!$G$1:$K$1,0)),0))</f>
        <v/>
      </c>
      <c r="K8" s="6">
        <f>IF(OR(K$1="",K$1="(livre)"),"",IFERROR(SUMIF(Diário_Avaliações!$B:$B,$A8,INDEX(Diário_Avaliações!$L:$S,0,MATCH(K$1,Diário_Avaliações!$L$1:$S$1,0))),0)+IFERROR(INDEX(Histórico_Manual!$G:$K,MATCH($A8,Histórico_Manual!$A:$A,0),MATCH(K$1,Histórico_Manual!$G$1:$K$1,0)),0))</f>
        <v/>
      </c>
      <c r="L8" s="6">
        <f>IF(OR(L$1="",L$1="(livre)"),"",IFERROR(SUMIF(Diário_Avaliações!$B:$B,$A8,INDEX(Diário_Avaliações!$L:$S,0,MATCH(L$1,Diário_Avaliações!$L$1:$S$1,0))),0)+IFERROR(INDEX(Histórico_Manual!$G:$K,MATCH($A8,Histórico_Manual!$A:$A,0),MATCH(L$1,Histórico_Manual!$G$1:$K$1,0)),0))</f>
        <v/>
      </c>
      <c r="M8" s="6">
        <f>IF(OR(M$1="",M$1="(livre)"),"",IFERROR(SUMIF(Diário_Avaliações!$B:$B,$A8,INDEX(Diário_Avaliações!$L:$S,0,MATCH(M$1,Diário_Avaliações!$L$1:$S$1,0))),0)+IFERROR(INDEX(Histórico_Manual!$G:$K,MATCH($A8,Histórico_Manual!$A:$A,0),MATCH(M$1,Histórico_Manual!$G$1:$K$1,0)),0))</f>
        <v/>
      </c>
      <c r="N8" s="6">
        <f>IF(OR(N$1="",N$1="(livre)"),"",IFERROR(SUMIF(Diário_Avaliações!$B:$B,$A8,INDEX(Diário_Avaliações!$L:$S,0,MATCH(N$1,Diário_Avaliações!$L$1:$S$1,0))),0)+IFERROR(INDEX(Histórico_Manual!$G:$K,MATCH($A8,Histórico_Manual!$A:$A,0),MATCH(N$1,Histórico_Manual!$G$1:$K$1,0)),0))</f>
        <v/>
      </c>
      <c r="O8" s="6">
        <f>IF(OR(O$1="",O$1="(livre)"),"",IFERROR(SUMIF(Diário_Avaliações!$B:$B,$A8,INDEX(Diário_Avaliações!$L:$S,0,MATCH(O$1,Diário_Avaliações!$L$1:$S$1,0))),0)+IFERROR(INDEX(Histórico_Manual!$G:$K,MATCH($A8,Histórico_Manual!$A:$A,0),MATCH(O$1,Histórico_Manual!$G$1:$K$1,0)),0))</f>
        <v/>
      </c>
      <c r="P8" s="6">
        <f>IF(OR(P$1="",P$1="(livre)"),"",IFERROR(SUMIF(Diário_Avaliações!$B:$B,$A8,INDEX(Diário_Avaliações!$L:$S,0,MATCH(P$1,Diário_Avaliações!$L$1:$S$1,0))),0)+IFERROR(INDEX(Histórico_Manual!$G:$K,MATCH($A8,Histórico_Manual!$A:$A,0),MATCH(P$1,Histórico_Manual!$G$1:$K$1,0)),0))</f>
        <v/>
      </c>
      <c r="Q8" s="6">
        <f>SUMIF(Diário_Avaliações!$B:$B,$A8,Diário_Avaliações!$H:$H)+IFERROR(INDEX(Histórico_Manual!$E:$E,MATCH($A8,Histórico_Manual!$A:$A,0)),0)</f>
        <v/>
      </c>
      <c r="R8" s="6">
        <f>SUMIF(Diário_Avaliações!$B:$B,$A8,Diário_Avaliações!$I:$I)+IFERROR(INDEX(Histórico_Manual!$F:$F,MATCH($A8,Histórico_Manual!$A:$A,0)),0)</f>
        <v/>
      </c>
      <c r="S8" s="6">
        <f>IF($C8=0,"—",IF(SUMIF(Diário_Avaliações!$B:$B,$A8,Diário_Avaliações!$D:$D)=0,"Manual",IF(ISNUMBER(MATCH($A8,Histórico_Manual!$A:$A,0)),"Diário + manual","Diário")))</f>
        <v/>
      </c>
      <c r="T8" s="6">
        <f>IF($C8=0,"",$C8-SUM($I8:$P8))</f>
        <v/>
      </c>
      <c r="U8" s="6" t="n">
        <v>8</v>
      </c>
      <c r="V8">
        <f>MAX(0,DATE(2026,8,31)-MAX(TODAY(),DATE(2026,8,1))+1)</f>
        <v/>
      </c>
    </row>
    <row r="9" ht="19" customHeight="1">
      <c r="A9" s="4" t="inlineStr">
        <is>
          <t>Setembro</t>
        </is>
      </c>
      <c r="B9" s="5" t="n">
        <v>50</v>
      </c>
      <c r="C9" s="6">
        <f>SUMIF(Diário_Avaliações!$B:$B,$A9,Diário_Avaliações!$D:$D)+IFERROR(INDEX(Histórico_Manual!$B:$B,MATCH($A9,Histórico_Manual!$A:$A,0)),0)</f>
        <v/>
      </c>
      <c r="D9" s="7">
        <f>IF($B9=0,"",$C9/$B9)</f>
        <v/>
      </c>
      <c r="E9" s="6">
        <f>$C9-$B9</f>
        <v/>
      </c>
      <c r="F9" s="6">
        <f>IF($C9&gt;=$B9,0,IF($V9=0,"",ROUND(($B9-$C9)/$V9,1)))</f>
        <v/>
      </c>
      <c r="G9" s="6">
        <f>SUMIF(Diário_Avaliações!$B:$B,$A9,Diário_Avaliações!$K:$K)+IFERROR(INDEX(Histórico_Manual!$C:$C,MATCH($A9,Histórico_Manual!$A:$A,0)),0)</f>
        <v/>
      </c>
      <c r="H9" s="6">
        <f>SUMIF(Diário_Avaliações!$B:$B,$A9,Diário_Avaliações!$J:$J)+IFERROR(INDEX(Histórico_Manual!$D:$D,MATCH($A9,Histórico_Manual!$A:$A,0)),0)</f>
        <v/>
      </c>
      <c r="I9" s="6">
        <f>IF(OR(I$1="",I$1="(livre)"),"",IFERROR(SUMIF(Diário_Avaliações!$B:$B,$A9,INDEX(Diário_Avaliações!$L:$S,0,MATCH(I$1,Diário_Avaliações!$L$1:$S$1,0))),0)+IFERROR(INDEX(Histórico_Manual!$G:$K,MATCH($A9,Histórico_Manual!$A:$A,0),MATCH(I$1,Histórico_Manual!$G$1:$K$1,0)),0))</f>
        <v/>
      </c>
      <c r="J9" s="6">
        <f>IF(OR(J$1="",J$1="(livre)"),"",IFERROR(SUMIF(Diário_Avaliações!$B:$B,$A9,INDEX(Diário_Avaliações!$L:$S,0,MATCH(J$1,Diário_Avaliações!$L$1:$S$1,0))),0)+IFERROR(INDEX(Histórico_Manual!$G:$K,MATCH($A9,Histórico_Manual!$A:$A,0),MATCH(J$1,Histórico_Manual!$G$1:$K$1,0)),0))</f>
        <v/>
      </c>
      <c r="K9" s="6">
        <f>IF(OR(K$1="",K$1="(livre)"),"",IFERROR(SUMIF(Diário_Avaliações!$B:$B,$A9,INDEX(Diário_Avaliações!$L:$S,0,MATCH(K$1,Diário_Avaliações!$L$1:$S$1,0))),0)+IFERROR(INDEX(Histórico_Manual!$G:$K,MATCH($A9,Histórico_Manual!$A:$A,0),MATCH(K$1,Histórico_Manual!$G$1:$K$1,0)),0))</f>
        <v/>
      </c>
      <c r="L9" s="6">
        <f>IF(OR(L$1="",L$1="(livre)"),"",IFERROR(SUMIF(Diário_Avaliações!$B:$B,$A9,INDEX(Diário_Avaliações!$L:$S,0,MATCH(L$1,Diário_Avaliações!$L$1:$S$1,0))),0)+IFERROR(INDEX(Histórico_Manual!$G:$K,MATCH($A9,Histórico_Manual!$A:$A,0),MATCH(L$1,Histórico_Manual!$G$1:$K$1,0)),0))</f>
        <v/>
      </c>
      <c r="M9" s="6">
        <f>IF(OR(M$1="",M$1="(livre)"),"",IFERROR(SUMIF(Diário_Avaliações!$B:$B,$A9,INDEX(Diário_Avaliações!$L:$S,0,MATCH(M$1,Diário_Avaliações!$L$1:$S$1,0))),0)+IFERROR(INDEX(Histórico_Manual!$G:$K,MATCH($A9,Histórico_Manual!$A:$A,0),MATCH(M$1,Histórico_Manual!$G$1:$K$1,0)),0))</f>
        <v/>
      </c>
      <c r="N9" s="6">
        <f>IF(OR(N$1="",N$1="(livre)"),"",IFERROR(SUMIF(Diário_Avaliações!$B:$B,$A9,INDEX(Diário_Avaliações!$L:$S,0,MATCH(N$1,Diário_Avaliações!$L$1:$S$1,0))),0)+IFERROR(INDEX(Histórico_Manual!$G:$K,MATCH($A9,Histórico_Manual!$A:$A,0),MATCH(N$1,Histórico_Manual!$G$1:$K$1,0)),0))</f>
        <v/>
      </c>
      <c r="O9" s="6">
        <f>IF(OR(O$1="",O$1="(livre)"),"",IFERROR(SUMIF(Diário_Avaliações!$B:$B,$A9,INDEX(Diário_Avaliações!$L:$S,0,MATCH(O$1,Diário_Avaliações!$L$1:$S$1,0))),0)+IFERROR(INDEX(Histórico_Manual!$G:$K,MATCH($A9,Histórico_Manual!$A:$A,0),MATCH(O$1,Histórico_Manual!$G$1:$K$1,0)),0))</f>
        <v/>
      </c>
      <c r="P9" s="6">
        <f>IF(OR(P$1="",P$1="(livre)"),"",IFERROR(SUMIF(Diário_Avaliações!$B:$B,$A9,INDEX(Diário_Avaliações!$L:$S,0,MATCH(P$1,Diário_Avaliações!$L$1:$S$1,0))),0)+IFERROR(INDEX(Histórico_Manual!$G:$K,MATCH($A9,Histórico_Manual!$A:$A,0),MATCH(P$1,Histórico_Manual!$G$1:$K$1,0)),0))</f>
        <v/>
      </c>
      <c r="Q9" s="6">
        <f>SUMIF(Diário_Avaliações!$B:$B,$A9,Diário_Avaliações!$H:$H)+IFERROR(INDEX(Histórico_Manual!$E:$E,MATCH($A9,Histórico_Manual!$A:$A,0)),0)</f>
        <v/>
      </c>
      <c r="R9" s="6">
        <f>SUMIF(Diário_Avaliações!$B:$B,$A9,Diário_Avaliações!$I:$I)+IFERROR(INDEX(Histórico_Manual!$F:$F,MATCH($A9,Histórico_Manual!$A:$A,0)),0)</f>
        <v/>
      </c>
      <c r="S9" s="6">
        <f>IF($C9=0,"—",IF(SUMIF(Diário_Avaliações!$B:$B,$A9,Diário_Avaliações!$D:$D)=0,"Manual",IF(ISNUMBER(MATCH($A9,Histórico_Manual!$A:$A,0)),"Diário + manual","Diário")))</f>
        <v/>
      </c>
      <c r="T9" s="6">
        <f>IF($C9=0,"",$C9-SUM($I9:$P9))</f>
        <v/>
      </c>
      <c r="U9" s="6" t="n">
        <v>9</v>
      </c>
      <c r="V9">
        <f>MAX(0,DATE(2026,9,30)-MAX(TODAY(),DATE(2026,9,1))+1)</f>
        <v/>
      </c>
    </row>
    <row r="10" ht="19" customHeight="1">
      <c r="A10" s="4" t="inlineStr">
        <is>
          <t>Outubro</t>
        </is>
      </c>
      <c r="B10" s="5" t="n">
        <v>50</v>
      </c>
      <c r="C10" s="6">
        <f>SUMIF(Diário_Avaliações!$B:$B,$A10,Diário_Avaliações!$D:$D)+IFERROR(INDEX(Histórico_Manual!$B:$B,MATCH($A10,Histórico_Manual!$A:$A,0)),0)</f>
        <v/>
      </c>
      <c r="D10" s="7">
        <f>IF($B10=0,"",$C10/$B10)</f>
        <v/>
      </c>
      <c r="E10" s="6">
        <f>$C10-$B10</f>
        <v/>
      </c>
      <c r="F10" s="6">
        <f>IF($C10&gt;=$B10,0,IF($V10=0,"",ROUND(($B10-$C10)/$V10,1)))</f>
        <v/>
      </c>
      <c r="G10" s="6">
        <f>SUMIF(Diário_Avaliações!$B:$B,$A10,Diário_Avaliações!$K:$K)+IFERROR(INDEX(Histórico_Manual!$C:$C,MATCH($A10,Histórico_Manual!$A:$A,0)),0)</f>
        <v/>
      </c>
      <c r="H10" s="6">
        <f>SUMIF(Diário_Avaliações!$B:$B,$A10,Diário_Avaliações!$J:$J)+IFERROR(INDEX(Histórico_Manual!$D:$D,MATCH($A10,Histórico_Manual!$A:$A,0)),0)</f>
        <v/>
      </c>
      <c r="I10" s="6">
        <f>IF(OR(I$1="",I$1="(livre)"),"",IFERROR(SUMIF(Diário_Avaliações!$B:$B,$A10,INDEX(Diário_Avaliações!$L:$S,0,MATCH(I$1,Diário_Avaliações!$L$1:$S$1,0))),0)+IFERROR(INDEX(Histórico_Manual!$G:$K,MATCH($A10,Histórico_Manual!$A:$A,0),MATCH(I$1,Histórico_Manual!$G$1:$K$1,0)),0))</f>
        <v/>
      </c>
      <c r="J10" s="6">
        <f>IF(OR(J$1="",J$1="(livre)"),"",IFERROR(SUMIF(Diário_Avaliações!$B:$B,$A10,INDEX(Diário_Avaliações!$L:$S,0,MATCH(J$1,Diário_Avaliações!$L$1:$S$1,0))),0)+IFERROR(INDEX(Histórico_Manual!$G:$K,MATCH($A10,Histórico_Manual!$A:$A,0),MATCH(J$1,Histórico_Manual!$G$1:$K$1,0)),0))</f>
        <v/>
      </c>
      <c r="K10" s="6">
        <f>IF(OR(K$1="",K$1="(livre)"),"",IFERROR(SUMIF(Diário_Avaliações!$B:$B,$A10,INDEX(Diário_Avaliações!$L:$S,0,MATCH(K$1,Diário_Avaliações!$L$1:$S$1,0))),0)+IFERROR(INDEX(Histórico_Manual!$G:$K,MATCH($A10,Histórico_Manual!$A:$A,0),MATCH(K$1,Histórico_Manual!$G$1:$K$1,0)),0))</f>
        <v/>
      </c>
      <c r="L10" s="6">
        <f>IF(OR(L$1="",L$1="(livre)"),"",IFERROR(SUMIF(Diário_Avaliações!$B:$B,$A10,INDEX(Diário_Avaliações!$L:$S,0,MATCH(L$1,Diário_Avaliações!$L$1:$S$1,0))),0)+IFERROR(INDEX(Histórico_Manual!$G:$K,MATCH($A10,Histórico_Manual!$A:$A,0),MATCH(L$1,Histórico_Manual!$G$1:$K$1,0)),0))</f>
        <v/>
      </c>
      <c r="M10" s="6">
        <f>IF(OR(M$1="",M$1="(livre)"),"",IFERROR(SUMIF(Diário_Avaliações!$B:$B,$A10,INDEX(Diário_Avaliações!$L:$S,0,MATCH(M$1,Diário_Avaliações!$L$1:$S$1,0))),0)+IFERROR(INDEX(Histórico_Manual!$G:$K,MATCH($A10,Histórico_Manual!$A:$A,0),MATCH(M$1,Histórico_Manual!$G$1:$K$1,0)),0))</f>
        <v/>
      </c>
      <c r="N10" s="6">
        <f>IF(OR(N$1="",N$1="(livre)"),"",IFERROR(SUMIF(Diário_Avaliações!$B:$B,$A10,INDEX(Diário_Avaliações!$L:$S,0,MATCH(N$1,Diário_Avaliações!$L$1:$S$1,0))),0)+IFERROR(INDEX(Histórico_Manual!$G:$K,MATCH($A10,Histórico_Manual!$A:$A,0),MATCH(N$1,Histórico_Manual!$G$1:$K$1,0)),0))</f>
        <v/>
      </c>
      <c r="O10" s="6">
        <f>IF(OR(O$1="",O$1="(livre)"),"",IFERROR(SUMIF(Diário_Avaliações!$B:$B,$A10,INDEX(Diário_Avaliações!$L:$S,0,MATCH(O$1,Diário_Avaliações!$L$1:$S$1,0))),0)+IFERROR(INDEX(Histórico_Manual!$G:$K,MATCH($A10,Histórico_Manual!$A:$A,0),MATCH(O$1,Histórico_Manual!$G$1:$K$1,0)),0))</f>
        <v/>
      </c>
      <c r="P10" s="6">
        <f>IF(OR(P$1="",P$1="(livre)"),"",IFERROR(SUMIF(Diário_Avaliações!$B:$B,$A10,INDEX(Diário_Avaliações!$L:$S,0,MATCH(P$1,Diário_Avaliações!$L$1:$S$1,0))),0)+IFERROR(INDEX(Histórico_Manual!$G:$K,MATCH($A10,Histórico_Manual!$A:$A,0),MATCH(P$1,Histórico_Manual!$G$1:$K$1,0)),0))</f>
        <v/>
      </c>
      <c r="Q10" s="6">
        <f>SUMIF(Diário_Avaliações!$B:$B,$A10,Diário_Avaliações!$H:$H)+IFERROR(INDEX(Histórico_Manual!$E:$E,MATCH($A10,Histórico_Manual!$A:$A,0)),0)</f>
        <v/>
      </c>
      <c r="R10" s="6">
        <f>SUMIF(Diário_Avaliações!$B:$B,$A10,Diário_Avaliações!$I:$I)+IFERROR(INDEX(Histórico_Manual!$F:$F,MATCH($A10,Histórico_Manual!$A:$A,0)),0)</f>
        <v/>
      </c>
      <c r="S10" s="6">
        <f>IF($C10=0,"—",IF(SUMIF(Diário_Avaliações!$B:$B,$A10,Diário_Avaliações!$D:$D)=0,"Manual",IF(ISNUMBER(MATCH($A10,Histórico_Manual!$A:$A,0)),"Diário + manual","Diário")))</f>
        <v/>
      </c>
      <c r="T10" s="6">
        <f>IF($C10=0,"",$C10-SUM($I10:$P10))</f>
        <v/>
      </c>
      <c r="U10" s="6" t="n">
        <v>10</v>
      </c>
      <c r="V10">
        <f>MAX(0,DATE(2026,10,31)-MAX(TODAY(),DATE(2026,10,1))+1)</f>
        <v/>
      </c>
    </row>
    <row r="11" ht="19" customHeight="1">
      <c r="A11" s="4" t="inlineStr">
        <is>
          <t>Novembro</t>
        </is>
      </c>
      <c r="B11" s="5" t="n">
        <v>50</v>
      </c>
      <c r="C11" s="6">
        <f>SUMIF(Diário_Avaliações!$B:$B,$A11,Diário_Avaliações!$D:$D)+IFERROR(INDEX(Histórico_Manual!$B:$B,MATCH($A11,Histórico_Manual!$A:$A,0)),0)</f>
        <v/>
      </c>
      <c r="D11" s="7">
        <f>IF($B11=0,"",$C11/$B11)</f>
        <v/>
      </c>
      <c r="E11" s="6">
        <f>$C11-$B11</f>
        <v/>
      </c>
      <c r="F11" s="6">
        <f>IF($C11&gt;=$B11,0,IF($V11=0,"",ROUND(($B11-$C11)/$V11,1)))</f>
        <v/>
      </c>
      <c r="G11" s="6">
        <f>SUMIF(Diário_Avaliações!$B:$B,$A11,Diário_Avaliações!$K:$K)+IFERROR(INDEX(Histórico_Manual!$C:$C,MATCH($A11,Histórico_Manual!$A:$A,0)),0)</f>
        <v/>
      </c>
      <c r="H11" s="6">
        <f>SUMIF(Diário_Avaliações!$B:$B,$A11,Diário_Avaliações!$J:$J)+IFERROR(INDEX(Histórico_Manual!$D:$D,MATCH($A11,Histórico_Manual!$A:$A,0)),0)</f>
        <v/>
      </c>
      <c r="I11" s="6">
        <f>IF(OR(I$1="",I$1="(livre)"),"",IFERROR(SUMIF(Diário_Avaliações!$B:$B,$A11,INDEX(Diário_Avaliações!$L:$S,0,MATCH(I$1,Diário_Avaliações!$L$1:$S$1,0))),0)+IFERROR(INDEX(Histórico_Manual!$G:$K,MATCH($A11,Histórico_Manual!$A:$A,0),MATCH(I$1,Histórico_Manual!$G$1:$K$1,0)),0))</f>
        <v/>
      </c>
      <c r="J11" s="6">
        <f>IF(OR(J$1="",J$1="(livre)"),"",IFERROR(SUMIF(Diário_Avaliações!$B:$B,$A11,INDEX(Diário_Avaliações!$L:$S,0,MATCH(J$1,Diário_Avaliações!$L$1:$S$1,0))),0)+IFERROR(INDEX(Histórico_Manual!$G:$K,MATCH($A11,Histórico_Manual!$A:$A,0),MATCH(J$1,Histórico_Manual!$G$1:$K$1,0)),0))</f>
        <v/>
      </c>
      <c r="K11" s="6">
        <f>IF(OR(K$1="",K$1="(livre)"),"",IFERROR(SUMIF(Diário_Avaliações!$B:$B,$A11,INDEX(Diário_Avaliações!$L:$S,0,MATCH(K$1,Diário_Avaliações!$L$1:$S$1,0))),0)+IFERROR(INDEX(Histórico_Manual!$G:$K,MATCH($A11,Histórico_Manual!$A:$A,0),MATCH(K$1,Histórico_Manual!$G$1:$K$1,0)),0))</f>
        <v/>
      </c>
      <c r="L11" s="6">
        <f>IF(OR(L$1="",L$1="(livre)"),"",IFERROR(SUMIF(Diário_Avaliações!$B:$B,$A11,INDEX(Diário_Avaliações!$L:$S,0,MATCH(L$1,Diário_Avaliações!$L$1:$S$1,0))),0)+IFERROR(INDEX(Histórico_Manual!$G:$K,MATCH($A11,Histórico_Manual!$A:$A,0),MATCH(L$1,Histórico_Manual!$G$1:$K$1,0)),0))</f>
        <v/>
      </c>
      <c r="M11" s="6">
        <f>IF(OR(M$1="",M$1="(livre)"),"",IFERROR(SUMIF(Diário_Avaliações!$B:$B,$A11,INDEX(Diário_Avaliações!$L:$S,0,MATCH(M$1,Diário_Avaliações!$L$1:$S$1,0))),0)+IFERROR(INDEX(Histórico_Manual!$G:$K,MATCH($A11,Histórico_Manual!$A:$A,0),MATCH(M$1,Histórico_Manual!$G$1:$K$1,0)),0))</f>
        <v/>
      </c>
      <c r="N11" s="6">
        <f>IF(OR(N$1="",N$1="(livre)"),"",IFERROR(SUMIF(Diário_Avaliações!$B:$B,$A11,INDEX(Diário_Avaliações!$L:$S,0,MATCH(N$1,Diário_Avaliações!$L$1:$S$1,0))),0)+IFERROR(INDEX(Histórico_Manual!$G:$K,MATCH($A11,Histórico_Manual!$A:$A,0),MATCH(N$1,Histórico_Manual!$G$1:$K$1,0)),0))</f>
        <v/>
      </c>
      <c r="O11" s="6">
        <f>IF(OR(O$1="",O$1="(livre)"),"",IFERROR(SUMIF(Diário_Avaliações!$B:$B,$A11,INDEX(Diário_Avaliações!$L:$S,0,MATCH(O$1,Diário_Avaliações!$L$1:$S$1,0))),0)+IFERROR(INDEX(Histórico_Manual!$G:$K,MATCH($A11,Histórico_Manual!$A:$A,0),MATCH(O$1,Histórico_Manual!$G$1:$K$1,0)),0))</f>
        <v/>
      </c>
      <c r="P11" s="6">
        <f>IF(OR(P$1="",P$1="(livre)"),"",IFERROR(SUMIF(Diário_Avaliações!$B:$B,$A11,INDEX(Diário_Avaliações!$L:$S,0,MATCH(P$1,Diário_Avaliações!$L$1:$S$1,0))),0)+IFERROR(INDEX(Histórico_Manual!$G:$K,MATCH($A11,Histórico_Manual!$A:$A,0),MATCH(P$1,Histórico_Manual!$G$1:$K$1,0)),0))</f>
        <v/>
      </c>
      <c r="Q11" s="6">
        <f>SUMIF(Diário_Avaliações!$B:$B,$A11,Diário_Avaliações!$H:$H)+IFERROR(INDEX(Histórico_Manual!$E:$E,MATCH($A11,Histórico_Manual!$A:$A,0)),0)</f>
        <v/>
      </c>
      <c r="R11" s="6">
        <f>SUMIF(Diário_Avaliações!$B:$B,$A11,Diário_Avaliações!$I:$I)+IFERROR(INDEX(Histórico_Manual!$F:$F,MATCH($A11,Histórico_Manual!$A:$A,0)),0)</f>
        <v/>
      </c>
      <c r="S11" s="6">
        <f>IF($C11=0,"—",IF(SUMIF(Diário_Avaliações!$B:$B,$A11,Diário_Avaliações!$D:$D)=0,"Manual",IF(ISNUMBER(MATCH($A11,Histórico_Manual!$A:$A,0)),"Diário + manual","Diário")))</f>
        <v/>
      </c>
      <c r="T11" s="6">
        <f>IF($C11=0,"",$C11-SUM($I11:$P11))</f>
        <v/>
      </c>
      <c r="U11" s="6" t="n">
        <v>11</v>
      </c>
      <c r="V11">
        <f>MAX(0,DATE(2026,11,30)-MAX(TODAY(),DATE(2026,11,1))+1)</f>
        <v/>
      </c>
    </row>
    <row r="12" ht="19" customHeight="1">
      <c r="A12" s="4" t="inlineStr">
        <is>
          <t>Dezembro</t>
        </is>
      </c>
      <c r="B12" s="5" t="n">
        <v>50</v>
      </c>
      <c r="C12" s="6">
        <f>SUMIF(Diário_Avaliações!$B:$B,$A12,Diário_Avaliações!$D:$D)+IFERROR(INDEX(Histórico_Manual!$B:$B,MATCH($A12,Histórico_Manual!$A:$A,0)),0)</f>
        <v/>
      </c>
      <c r="D12" s="7">
        <f>IF($B12=0,"",$C12/$B12)</f>
        <v/>
      </c>
      <c r="E12" s="6">
        <f>$C12-$B12</f>
        <v/>
      </c>
      <c r="F12" s="6">
        <f>IF($C12&gt;=$B12,0,IF($V12=0,"",ROUND(($B12-$C12)/$V12,1)))</f>
        <v/>
      </c>
      <c r="G12" s="6">
        <f>SUMIF(Diário_Avaliações!$B:$B,$A12,Diário_Avaliações!$K:$K)+IFERROR(INDEX(Histórico_Manual!$C:$C,MATCH($A12,Histórico_Manual!$A:$A,0)),0)</f>
        <v/>
      </c>
      <c r="H12" s="6">
        <f>SUMIF(Diário_Avaliações!$B:$B,$A12,Diário_Avaliações!$J:$J)+IFERROR(INDEX(Histórico_Manual!$D:$D,MATCH($A12,Histórico_Manual!$A:$A,0)),0)</f>
        <v/>
      </c>
      <c r="I12" s="6">
        <f>IF(OR(I$1="",I$1="(livre)"),"",IFERROR(SUMIF(Diário_Avaliações!$B:$B,$A12,INDEX(Diário_Avaliações!$L:$S,0,MATCH(I$1,Diário_Avaliações!$L$1:$S$1,0))),0)+IFERROR(INDEX(Histórico_Manual!$G:$K,MATCH($A12,Histórico_Manual!$A:$A,0),MATCH(I$1,Histórico_Manual!$G$1:$K$1,0)),0))</f>
        <v/>
      </c>
      <c r="J12" s="6">
        <f>IF(OR(J$1="",J$1="(livre)"),"",IFERROR(SUMIF(Diário_Avaliações!$B:$B,$A12,INDEX(Diário_Avaliações!$L:$S,0,MATCH(J$1,Diário_Avaliações!$L$1:$S$1,0))),0)+IFERROR(INDEX(Histórico_Manual!$G:$K,MATCH($A12,Histórico_Manual!$A:$A,0),MATCH(J$1,Histórico_Manual!$G$1:$K$1,0)),0))</f>
        <v/>
      </c>
      <c r="K12" s="6">
        <f>IF(OR(K$1="",K$1="(livre)"),"",IFERROR(SUMIF(Diário_Avaliações!$B:$B,$A12,INDEX(Diário_Avaliações!$L:$S,0,MATCH(K$1,Diário_Avaliações!$L$1:$S$1,0))),0)+IFERROR(INDEX(Histórico_Manual!$G:$K,MATCH($A12,Histórico_Manual!$A:$A,0),MATCH(K$1,Histórico_Manual!$G$1:$K$1,0)),0))</f>
        <v/>
      </c>
      <c r="L12" s="6">
        <f>IF(OR(L$1="",L$1="(livre)"),"",IFERROR(SUMIF(Diário_Avaliações!$B:$B,$A12,INDEX(Diário_Avaliações!$L:$S,0,MATCH(L$1,Diário_Avaliações!$L$1:$S$1,0))),0)+IFERROR(INDEX(Histórico_Manual!$G:$K,MATCH($A12,Histórico_Manual!$A:$A,0),MATCH(L$1,Histórico_Manual!$G$1:$K$1,0)),0))</f>
        <v/>
      </c>
      <c r="M12" s="6">
        <f>IF(OR(M$1="",M$1="(livre)"),"",IFERROR(SUMIF(Diário_Avaliações!$B:$B,$A12,INDEX(Diário_Avaliações!$L:$S,0,MATCH(M$1,Diário_Avaliações!$L$1:$S$1,0))),0)+IFERROR(INDEX(Histórico_Manual!$G:$K,MATCH($A12,Histórico_Manual!$A:$A,0),MATCH(M$1,Histórico_Manual!$G$1:$K$1,0)),0))</f>
        <v/>
      </c>
      <c r="N12" s="6">
        <f>IF(OR(N$1="",N$1="(livre)"),"",IFERROR(SUMIF(Diário_Avaliações!$B:$B,$A12,INDEX(Diário_Avaliações!$L:$S,0,MATCH(N$1,Diário_Avaliações!$L$1:$S$1,0))),0)+IFERROR(INDEX(Histórico_Manual!$G:$K,MATCH($A12,Histórico_Manual!$A:$A,0),MATCH(N$1,Histórico_Manual!$G$1:$K$1,0)),0))</f>
        <v/>
      </c>
      <c r="O12" s="6">
        <f>IF(OR(O$1="",O$1="(livre)"),"",IFERROR(SUMIF(Diário_Avaliações!$B:$B,$A12,INDEX(Diário_Avaliações!$L:$S,0,MATCH(O$1,Diário_Avaliações!$L$1:$S$1,0))),0)+IFERROR(INDEX(Histórico_Manual!$G:$K,MATCH($A12,Histórico_Manual!$A:$A,0),MATCH(O$1,Histórico_Manual!$G$1:$K$1,0)),0))</f>
        <v/>
      </c>
      <c r="P12" s="6">
        <f>IF(OR(P$1="",P$1="(livre)"),"",IFERROR(SUMIF(Diário_Avaliações!$B:$B,$A12,INDEX(Diário_Avaliações!$L:$S,0,MATCH(P$1,Diário_Avaliações!$L$1:$S$1,0))),0)+IFERROR(INDEX(Histórico_Manual!$G:$K,MATCH($A12,Histórico_Manual!$A:$A,0),MATCH(P$1,Histórico_Manual!$G$1:$K$1,0)),0))</f>
        <v/>
      </c>
      <c r="Q12" s="6">
        <f>SUMIF(Diário_Avaliações!$B:$B,$A12,Diário_Avaliações!$H:$H)+IFERROR(INDEX(Histórico_Manual!$E:$E,MATCH($A12,Histórico_Manual!$A:$A,0)),0)</f>
        <v/>
      </c>
      <c r="R12" s="6">
        <f>SUMIF(Diário_Avaliações!$B:$B,$A12,Diário_Avaliações!$I:$I)+IFERROR(INDEX(Histórico_Manual!$F:$F,MATCH($A12,Histórico_Manual!$A:$A,0)),0)</f>
        <v/>
      </c>
      <c r="S12" s="6">
        <f>IF($C12=0,"—",IF(SUMIF(Diário_Avaliações!$B:$B,$A12,Diário_Avaliações!$D:$D)=0,"Manual",IF(ISNUMBER(MATCH($A12,Histórico_Manual!$A:$A,0)),"Diário + manual","Diário")))</f>
        <v/>
      </c>
      <c r="T12" s="6">
        <f>IF($C12=0,"",$C12-SUM($I12:$P12))</f>
        <v/>
      </c>
      <c r="U12" s="6" t="n">
        <v>12</v>
      </c>
      <c r="V12">
        <f>MAX(0,DATE(2026,12,31)-MAX(TODAY(),DATE(2026,12,1))+1)</f>
        <v/>
      </c>
    </row>
    <row r="13" ht="21" customHeight="1">
      <c r="A13" s="10" t="inlineStr">
        <is>
          <t>TOTAL</t>
        </is>
      </c>
      <c r="B13" s="11">
        <f>SUM(B2:B12)</f>
        <v/>
      </c>
      <c r="C13" s="11">
        <f>SUM(C2:C12)</f>
        <v/>
      </c>
      <c r="D13" s="12">
        <f>IF($B13=0,"",$C13/$B13)</f>
        <v/>
      </c>
      <c r="E13" s="11">
        <f>SUM(E2:E12)</f>
        <v/>
      </c>
      <c r="F13" s="11" t="n"/>
      <c r="G13" s="11">
        <f>SUM(G2:G12)</f>
        <v/>
      </c>
      <c r="H13" s="11">
        <f>SUM(H2:H12)</f>
        <v/>
      </c>
      <c r="I13" s="11">
        <f>SUM(I2:I12)</f>
        <v/>
      </c>
      <c r="J13" s="11">
        <f>SUM(J2:J12)</f>
        <v/>
      </c>
      <c r="K13" s="11">
        <f>SUM(K2:K12)</f>
        <v/>
      </c>
      <c r="L13" s="11">
        <f>SUM(L2:L12)</f>
        <v/>
      </c>
      <c r="M13" s="11">
        <f>SUM(M2:M12)</f>
        <v/>
      </c>
      <c r="N13" s="11">
        <f>SUM(N2:N12)</f>
        <v/>
      </c>
      <c r="O13" s="11">
        <f>SUM(O2:O12)</f>
        <v/>
      </c>
      <c r="P13" s="11">
        <f>SUM(P2:P12)</f>
        <v/>
      </c>
      <c r="Q13" s="11">
        <f>SUM(Q2:Q12)</f>
        <v/>
      </c>
      <c r="R13" s="11">
        <f>SUM(R2:R12)</f>
        <v/>
      </c>
      <c r="S13" s="11" t="n"/>
      <c r="T13" s="11">
        <f>SUM(T2:T12)</f>
        <v/>
      </c>
      <c r="U13" s="11" t="n"/>
    </row>
    <row r="15">
      <c r="A15" s="13" t="inlineStr">
        <is>
          <t>Até o mês atual</t>
        </is>
      </c>
      <c r="B15" s="13">
        <f>SUMIFS($B$2:$B$12,$U$2:$U$12,"&lt;="&amp;MONTH(TODAY()))</f>
        <v/>
      </c>
      <c r="C15" s="13">
        <f>SUMIFS($C$2:$C$12,$U$2:$U$12,"&lt;="&amp;MONTH(TODAY()))</f>
        <v/>
      </c>
      <c r="D15" s="14">
        <f>IF($B$15=0,"",$C$15/$B$15)</f>
        <v/>
      </c>
    </row>
    <row r="16">
      <c r="A16" s="9" t="inlineStr">
        <is>
          <t>Professor novo: escreva o nome SÓ no cabeçalho de uma coluna amarela do Diário_Avaliações. O nome aparece sozinho aqui, na aba Comissões e no Painel.</t>
        </is>
      </c>
    </row>
  </sheetData>
  <conditionalFormatting sqref="D2:D13">
    <cfRule type="cellIs" priority="1" operator="greaterThanOrEqual" dxfId="2">
      <formula>1</formula>
    </cfRule>
    <cfRule type="cellIs" priority="2" operator="lessThan" dxfId="3">
      <formula>0.7</formula>
    </cfRule>
  </conditionalFormatting>
  <conditionalFormatting sqref="T2:T12">
    <cfRule type="cellIs" priority="3" operator="greaterThan" dxfId="4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5" customWidth="1" min="11" max="11"/>
  </cols>
  <sheetData>
    <row r="1">
      <c r="A1" s="15" t="inlineStr">
        <is>
          <t>COMISSÃO DE AVALIAÇÕES — paga no mês seguinte</t>
        </is>
      </c>
    </row>
    <row r="2">
      <c r="A2" s="16" t="inlineStr">
        <is>
          <t>Valor por avaliação (R$)</t>
        </is>
      </c>
      <c r="B2" s="17" t="n">
        <v>10</v>
      </c>
    </row>
    <row r="3" ht="30" customHeight="1">
      <c r="A3" s="1" t="inlineStr">
        <is>
          <t>Mês de referência</t>
        </is>
      </c>
      <c r="B3" s="1" t="inlineStr">
        <is>
          <t>Mês de pagamento</t>
        </is>
      </c>
      <c r="C3" s="1">
        <f>Diário_Avaliações!L$1</f>
        <v/>
      </c>
      <c r="D3" s="1">
        <f>Diário_Avaliações!M$1</f>
        <v/>
      </c>
      <c r="E3" s="1">
        <f>Diário_Avaliações!N$1</f>
        <v/>
      </c>
      <c r="F3" s="1">
        <f>Diário_Avaliações!O$1</f>
        <v/>
      </c>
      <c r="G3" s="1">
        <f>Diário_Avaliações!P$1</f>
        <v/>
      </c>
      <c r="H3" s="1">
        <f>Diário_Avaliações!Q$1</f>
        <v/>
      </c>
      <c r="I3" s="1">
        <f>Diário_Avaliações!R$1</f>
        <v/>
      </c>
      <c r="J3" s="1">
        <f>Diário_Avaliações!S$1</f>
        <v/>
      </c>
      <c r="K3" s="1" t="inlineStr">
        <is>
          <t>Total do mês</t>
        </is>
      </c>
    </row>
    <row r="4">
      <c r="A4" s="8" t="inlineStr">
        <is>
          <t>Fevereiro</t>
        </is>
      </c>
      <c r="B4" s="8" t="inlineStr">
        <is>
          <t>Março</t>
        </is>
      </c>
      <c r="C4" s="18">
        <f>IF(OR(C$3="",C$3="(livre)"),"",Consolidado_Mensal!I2*$B$2)</f>
        <v/>
      </c>
      <c r="D4" s="18">
        <f>IF(OR(D$3="",D$3="(livre)"),"",Consolidado_Mensal!J2*$B$2)</f>
        <v/>
      </c>
      <c r="E4" s="18">
        <f>IF(OR(E$3="",E$3="(livre)"),"",Consolidado_Mensal!K2*$B$2)</f>
        <v/>
      </c>
      <c r="F4" s="18">
        <f>IF(OR(F$3="",F$3="(livre)"),"",Consolidado_Mensal!L2*$B$2)</f>
        <v/>
      </c>
      <c r="G4" s="18">
        <f>IF(OR(G$3="",G$3="(livre)"),"",Consolidado_Mensal!M2*$B$2)</f>
        <v/>
      </c>
      <c r="H4" s="18">
        <f>IF(OR(H$3="",H$3="(livre)"),"",Consolidado_Mensal!N2*$B$2)</f>
        <v/>
      </c>
      <c r="I4" s="18">
        <f>IF(OR(I$3="",I$3="(livre)"),"",Consolidado_Mensal!O2*$B$2)</f>
        <v/>
      </c>
      <c r="J4" s="18">
        <f>IF(OR(J$3="",J$3="(livre)"),"",Consolidado_Mensal!P2*$B$2)</f>
        <v/>
      </c>
      <c r="K4" s="18">
        <f>SUM(C4:J4)</f>
        <v/>
      </c>
    </row>
    <row r="5">
      <c r="A5" s="8" t="inlineStr">
        <is>
          <t>Março</t>
        </is>
      </c>
      <c r="B5" s="8" t="inlineStr">
        <is>
          <t>Abril</t>
        </is>
      </c>
      <c r="C5" s="18">
        <f>IF(OR(C$3="",C$3="(livre)"),"",Consolidado_Mensal!I3*$B$2)</f>
        <v/>
      </c>
      <c r="D5" s="18">
        <f>IF(OR(D$3="",D$3="(livre)"),"",Consolidado_Mensal!J3*$B$2)</f>
        <v/>
      </c>
      <c r="E5" s="18">
        <f>IF(OR(E$3="",E$3="(livre)"),"",Consolidado_Mensal!K3*$B$2)</f>
        <v/>
      </c>
      <c r="F5" s="18">
        <f>IF(OR(F$3="",F$3="(livre)"),"",Consolidado_Mensal!L3*$B$2)</f>
        <v/>
      </c>
      <c r="G5" s="18">
        <f>IF(OR(G$3="",G$3="(livre)"),"",Consolidado_Mensal!M3*$B$2)</f>
        <v/>
      </c>
      <c r="H5" s="18">
        <f>IF(OR(H$3="",H$3="(livre)"),"",Consolidado_Mensal!N3*$B$2)</f>
        <v/>
      </c>
      <c r="I5" s="18">
        <f>IF(OR(I$3="",I$3="(livre)"),"",Consolidado_Mensal!O3*$B$2)</f>
        <v/>
      </c>
      <c r="J5" s="18">
        <f>IF(OR(J$3="",J$3="(livre)"),"",Consolidado_Mensal!P3*$B$2)</f>
        <v/>
      </c>
      <c r="K5" s="18">
        <f>SUM(C5:J5)</f>
        <v/>
      </c>
    </row>
    <row r="6">
      <c r="A6" s="8" t="inlineStr">
        <is>
          <t>Abril</t>
        </is>
      </c>
      <c r="B6" s="8" t="inlineStr">
        <is>
          <t>Maio</t>
        </is>
      </c>
      <c r="C6" s="18">
        <f>IF(OR(C$3="",C$3="(livre)"),"",Consolidado_Mensal!I4*$B$2)</f>
        <v/>
      </c>
      <c r="D6" s="18">
        <f>IF(OR(D$3="",D$3="(livre)"),"",Consolidado_Mensal!J4*$B$2)</f>
        <v/>
      </c>
      <c r="E6" s="18">
        <f>IF(OR(E$3="",E$3="(livre)"),"",Consolidado_Mensal!K4*$B$2)</f>
        <v/>
      </c>
      <c r="F6" s="18">
        <f>IF(OR(F$3="",F$3="(livre)"),"",Consolidado_Mensal!L4*$B$2)</f>
        <v/>
      </c>
      <c r="G6" s="18">
        <f>IF(OR(G$3="",G$3="(livre)"),"",Consolidado_Mensal!M4*$B$2)</f>
        <v/>
      </c>
      <c r="H6" s="18">
        <f>IF(OR(H$3="",H$3="(livre)"),"",Consolidado_Mensal!N4*$B$2)</f>
        <v/>
      </c>
      <c r="I6" s="18">
        <f>IF(OR(I$3="",I$3="(livre)"),"",Consolidado_Mensal!O4*$B$2)</f>
        <v/>
      </c>
      <c r="J6" s="18">
        <f>IF(OR(J$3="",J$3="(livre)"),"",Consolidado_Mensal!P4*$B$2)</f>
        <v/>
      </c>
      <c r="K6" s="18">
        <f>SUM(C6:J6)</f>
        <v/>
      </c>
    </row>
    <row r="7">
      <c r="A7" s="8" t="inlineStr">
        <is>
          <t>Maio</t>
        </is>
      </c>
      <c r="B7" s="8" t="inlineStr">
        <is>
          <t>Junho</t>
        </is>
      </c>
      <c r="C7" s="18">
        <f>IF(OR(C$3="",C$3="(livre)"),"",Consolidado_Mensal!I5*$B$2)</f>
        <v/>
      </c>
      <c r="D7" s="18">
        <f>IF(OR(D$3="",D$3="(livre)"),"",Consolidado_Mensal!J5*$B$2)</f>
        <v/>
      </c>
      <c r="E7" s="18">
        <f>IF(OR(E$3="",E$3="(livre)"),"",Consolidado_Mensal!K5*$B$2)</f>
        <v/>
      </c>
      <c r="F7" s="18">
        <f>IF(OR(F$3="",F$3="(livre)"),"",Consolidado_Mensal!L5*$B$2)</f>
        <v/>
      </c>
      <c r="G7" s="18">
        <f>IF(OR(G$3="",G$3="(livre)"),"",Consolidado_Mensal!M5*$B$2)</f>
        <v/>
      </c>
      <c r="H7" s="18">
        <f>IF(OR(H$3="",H$3="(livre)"),"",Consolidado_Mensal!N5*$B$2)</f>
        <v/>
      </c>
      <c r="I7" s="18">
        <f>IF(OR(I$3="",I$3="(livre)"),"",Consolidado_Mensal!O5*$B$2)</f>
        <v/>
      </c>
      <c r="J7" s="18">
        <f>IF(OR(J$3="",J$3="(livre)"),"",Consolidado_Mensal!P5*$B$2)</f>
        <v/>
      </c>
      <c r="K7" s="18">
        <f>SUM(C7:J7)</f>
        <v/>
      </c>
    </row>
    <row r="8">
      <c r="A8" s="8" t="inlineStr">
        <is>
          <t>Junho</t>
        </is>
      </c>
      <c r="B8" s="8" t="inlineStr">
        <is>
          <t>Julho</t>
        </is>
      </c>
      <c r="C8" s="18">
        <f>IF(OR(C$3="",C$3="(livre)"),"",Consolidado_Mensal!I6*$B$2)</f>
        <v/>
      </c>
      <c r="D8" s="18">
        <f>IF(OR(D$3="",D$3="(livre)"),"",Consolidado_Mensal!J6*$B$2)</f>
        <v/>
      </c>
      <c r="E8" s="18">
        <f>IF(OR(E$3="",E$3="(livre)"),"",Consolidado_Mensal!K6*$B$2)</f>
        <v/>
      </c>
      <c r="F8" s="18">
        <f>IF(OR(F$3="",F$3="(livre)"),"",Consolidado_Mensal!L6*$B$2)</f>
        <v/>
      </c>
      <c r="G8" s="18">
        <f>IF(OR(G$3="",G$3="(livre)"),"",Consolidado_Mensal!M6*$B$2)</f>
        <v/>
      </c>
      <c r="H8" s="18">
        <f>IF(OR(H$3="",H$3="(livre)"),"",Consolidado_Mensal!N6*$B$2)</f>
        <v/>
      </c>
      <c r="I8" s="18">
        <f>IF(OR(I$3="",I$3="(livre)"),"",Consolidado_Mensal!O6*$B$2)</f>
        <v/>
      </c>
      <c r="J8" s="18">
        <f>IF(OR(J$3="",J$3="(livre)"),"",Consolidado_Mensal!P6*$B$2)</f>
        <v/>
      </c>
      <c r="K8" s="18">
        <f>SUM(C8:J8)</f>
        <v/>
      </c>
    </row>
    <row r="9">
      <c r="A9" s="8" t="inlineStr">
        <is>
          <t>Julho</t>
        </is>
      </c>
      <c r="B9" s="8" t="inlineStr">
        <is>
          <t>Agosto</t>
        </is>
      </c>
      <c r="C9" s="18">
        <f>IF(OR(C$3="",C$3="(livre)"),"",Consolidado_Mensal!I7*$B$2)</f>
        <v/>
      </c>
      <c r="D9" s="18">
        <f>IF(OR(D$3="",D$3="(livre)"),"",Consolidado_Mensal!J7*$B$2)</f>
        <v/>
      </c>
      <c r="E9" s="18">
        <f>IF(OR(E$3="",E$3="(livre)"),"",Consolidado_Mensal!K7*$B$2)</f>
        <v/>
      </c>
      <c r="F9" s="18">
        <f>IF(OR(F$3="",F$3="(livre)"),"",Consolidado_Mensal!L7*$B$2)</f>
        <v/>
      </c>
      <c r="G9" s="18">
        <f>IF(OR(G$3="",G$3="(livre)"),"",Consolidado_Mensal!M7*$B$2)</f>
        <v/>
      </c>
      <c r="H9" s="18">
        <f>IF(OR(H$3="",H$3="(livre)"),"",Consolidado_Mensal!N7*$B$2)</f>
        <v/>
      </c>
      <c r="I9" s="18">
        <f>IF(OR(I$3="",I$3="(livre)"),"",Consolidado_Mensal!O7*$B$2)</f>
        <v/>
      </c>
      <c r="J9" s="18">
        <f>IF(OR(J$3="",J$3="(livre)"),"",Consolidado_Mensal!P7*$B$2)</f>
        <v/>
      </c>
      <c r="K9" s="18">
        <f>SUM(C9:J9)</f>
        <v/>
      </c>
    </row>
    <row r="10">
      <c r="A10" s="8" t="inlineStr">
        <is>
          <t>Agosto</t>
        </is>
      </c>
      <c r="B10" s="8" t="inlineStr">
        <is>
          <t>Setembro</t>
        </is>
      </c>
      <c r="C10" s="18">
        <f>IF(OR(C$3="",C$3="(livre)"),"",Consolidado_Mensal!I8*$B$2)</f>
        <v/>
      </c>
      <c r="D10" s="18">
        <f>IF(OR(D$3="",D$3="(livre)"),"",Consolidado_Mensal!J8*$B$2)</f>
        <v/>
      </c>
      <c r="E10" s="18">
        <f>IF(OR(E$3="",E$3="(livre)"),"",Consolidado_Mensal!K8*$B$2)</f>
        <v/>
      </c>
      <c r="F10" s="18">
        <f>IF(OR(F$3="",F$3="(livre)"),"",Consolidado_Mensal!L8*$B$2)</f>
        <v/>
      </c>
      <c r="G10" s="18">
        <f>IF(OR(G$3="",G$3="(livre)"),"",Consolidado_Mensal!M8*$B$2)</f>
        <v/>
      </c>
      <c r="H10" s="18">
        <f>IF(OR(H$3="",H$3="(livre)"),"",Consolidado_Mensal!N8*$B$2)</f>
        <v/>
      </c>
      <c r="I10" s="18">
        <f>IF(OR(I$3="",I$3="(livre)"),"",Consolidado_Mensal!O8*$B$2)</f>
        <v/>
      </c>
      <c r="J10" s="18">
        <f>IF(OR(J$3="",J$3="(livre)"),"",Consolidado_Mensal!P8*$B$2)</f>
        <v/>
      </c>
      <c r="K10" s="18">
        <f>SUM(C10:J10)</f>
        <v/>
      </c>
    </row>
    <row r="11">
      <c r="A11" s="8" t="inlineStr">
        <is>
          <t>Setembro</t>
        </is>
      </c>
      <c r="B11" s="8" t="inlineStr">
        <is>
          <t>Outubro</t>
        </is>
      </c>
      <c r="C11" s="18">
        <f>IF(OR(C$3="",C$3="(livre)"),"",Consolidado_Mensal!I9*$B$2)</f>
        <v/>
      </c>
      <c r="D11" s="18">
        <f>IF(OR(D$3="",D$3="(livre)"),"",Consolidado_Mensal!J9*$B$2)</f>
        <v/>
      </c>
      <c r="E11" s="18">
        <f>IF(OR(E$3="",E$3="(livre)"),"",Consolidado_Mensal!K9*$B$2)</f>
        <v/>
      </c>
      <c r="F11" s="18">
        <f>IF(OR(F$3="",F$3="(livre)"),"",Consolidado_Mensal!L9*$B$2)</f>
        <v/>
      </c>
      <c r="G11" s="18">
        <f>IF(OR(G$3="",G$3="(livre)"),"",Consolidado_Mensal!M9*$B$2)</f>
        <v/>
      </c>
      <c r="H11" s="18">
        <f>IF(OR(H$3="",H$3="(livre)"),"",Consolidado_Mensal!N9*$B$2)</f>
        <v/>
      </c>
      <c r="I11" s="18">
        <f>IF(OR(I$3="",I$3="(livre)"),"",Consolidado_Mensal!O9*$B$2)</f>
        <v/>
      </c>
      <c r="J11" s="18">
        <f>IF(OR(J$3="",J$3="(livre)"),"",Consolidado_Mensal!P9*$B$2)</f>
        <v/>
      </c>
      <c r="K11" s="18">
        <f>SUM(C11:J11)</f>
        <v/>
      </c>
    </row>
    <row r="12">
      <c r="A12" s="8" t="inlineStr">
        <is>
          <t>Outubro</t>
        </is>
      </c>
      <c r="B12" s="8" t="inlineStr">
        <is>
          <t>Novembro</t>
        </is>
      </c>
      <c r="C12" s="18">
        <f>IF(OR(C$3="",C$3="(livre)"),"",Consolidado_Mensal!I10*$B$2)</f>
        <v/>
      </c>
      <c r="D12" s="18">
        <f>IF(OR(D$3="",D$3="(livre)"),"",Consolidado_Mensal!J10*$B$2)</f>
        <v/>
      </c>
      <c r="E12" s="18">
        <f>IF(OR(E$3="",E$3="(livre)"),"",Consolidado_Mensal!K10*$B$2)</f>
        <v/>
      </c>
      <c r="F12" s="18">
        <f>IF(OR(F$3="",F$3="(livre)"),"",Consolidado_Mensal!L10*$B$2)</f>
        <v/>
      </c>
      <c r="G12" s="18">
        <f>IF(OR(G$3="",G$3="(livre)"),"",Consolidado_Mensal!M10*$B$2)</f>
        <v/>
      </c>
      <c r="H12" s="18">
        <f>IF(OR(H$3="",H$3="(livre)"),"",Consolidado_Mensal!N10*$B$2)</f>
        <v/>
      </c>
      <c r="I12" s="18">
        <f>IF(OR(I$3="",I$3="(livre)"),"",Consolidado_Mensal!O10*$B$2)</f>
        <v/>
      </c>
      <c r="J12" s="18">
        <f>IF(OR(J$3="",J$3="(livre)"),"",Consolidado_Mensal!P10*$B$2)</f>
        <v/>
      </c>
      <c r="K12" s="18">
        <f>SUM(C12:J12)</f>
        <v/>
      </c>
    </row>
    <row r="13">
      <c r="A13" s="8" t="inlineStr">
        <is>
          <t>Novembro</t>
        </is>
      </c>
      <c r="B13" s="8" t="inlineStr">
        <is>
          <t>Dezembro</t>
        </is>
      </c>
      <c r="C13" s="18">
        <f>IF(OR(C$3="",C$3="(livre)"),"",Consolidado_Mensal!I11*$B$2)</f>
        <v/>
      </c>
      <c r="D13" s="18">
        <f>IF(OR(D$3="",D$3="(livre)"),"",Consolidado_Mensal!J11*$B$2)</f>
        <v/>
      </c>
      <c r="E13" s="18">
        <f>IF(OR(E$3="",E$3="(livre)"),"",Consolidado_Mensal!K11*$B$2)</f>
        <v/>
      </c>
      <c r="F13" s="18">
        <f>IF(OR(F$3="",F$3="(livre)"),"",Consolidado_Mensal!L11*$B$2)</f>
        <v/>
      </c>
      <c r="G13" s="18">
        <f>IF(OR(G$3="",G$3="(livre)"),"",Consolidado_Mensal!M11*$B$2)</f>
        <v/>
      </c>
      <c r="H13" s="18">
        <f>IF(OR(H$3="",H$3="(livre)"),"",Consolidado_Mensal!N11*$B$2)</f>
        <v/>
      </c>
      <c r="I13" s="18">
        <f>IF(OR(I$3="",I$3="(livre)"),"",Consolidado_Mensal!O11*$B$2)</f>
        <v/>
      </c>
      <c r="J13" s="18">
        <f>IF(OR(J$3="",J$3="(livre)"),"",Consolidado_Mensal!P11*$B$2)</f>
        <v/>
      </c>
      <c r="K13" s="18">
        <f>SUM(C13:J13)</f>
        <v/>
      </c>
    </row>
    <row r="14">
      <c r="A14" s="8" t="inlineStr">
        <is>
          <t>Dezembro</t>
        </is>
      </c>
      <c r="B14" s="8" t="inlineStr">
        <is>
          <t>Janeiro/2027</t>
        </is>
      </c>
      <c r="C14" s="18">
        <f>IF(OR(C$3="",C$3="(livre)"),"",Consolidado_Mensal!I12*$B$2)</f>
        <v/>
      </c>
      <c r="D14" s="18">
        <f>IF(OR(D$3="",D$3="(livre)"),"",Consolidado_Mensal!J12*$B$2)</f>
        <v/>
      </c>
      <c r="E14" s="18">
        <f>IF(OR(E$3="",E$3="(livre)"),"",Consolidado_Mensal!K12*$B$2)</f>
        <v/>
      </c>
      <c r="F14" s="18">
        <f>IF(OR(F$3="",F$3="(livre)"),"",Consolidado_Mensal!L12*$B$2)</f>
        <v/>
      </c>
      <c r="G14" s="18">
        <f>IF(OR(G$3="",G$3="(livre)"),"",Consolidado_Mensal!M12*$B$2)</f>
        <v/>
      </c>
      <c r="H14" s="18">
        <f>IF(OR(H$3="",H$3="(livre)"),"",Consolidado_Mensal!N12*$B$2)</f>
        <v/>
      </c>
      <c r="I14" s="18">
        <f>IF(OR(I$3="",I$3="(livre)"),"",Consolidado_Mensal!O12*$B$2)</f>
        <v/>
      </c>
      <c r="J14" s="18">
        <f>IF(OR(J$3="",J$3="(livre)"),"",Consolidado_Mensal!P12*$B$2)</f>
        <v/>
      </c>
      <c r="K14" s="18">
        <f>SUM(C14:J14)</f>
        <v/>
      </c>
    </row>
    <row r="15">
      <c r="A15" s="10" t="inlineStr">
        <is>
          <t>TOTAL</t>
        </is>
      </c>
      <c r="B15" s="10" t="n"/>
      <c r="C15" s="19">
        <f>SUM(C4:C14)</f>
        <v/>
      </c>
      <c r="D15" s="19">
        <f>SUM(D4:D14)</f>
        <v/>
      </c>
      <c r="E15" s="19">
        <f>SUM(E4:E14)</f>
        <v/>
      </c>
      <c r="F15" s="19">
        <f>SUM(F4:F14)</f>
        <v/>
      </c>
      <c r="G15" s="19">
        <f>SUM(G4:G14)</f>
        <v/>
      </c>
      <c r="H15" s="19">
        <f>SUM(H4:H14)</f>
        <v/>
      </c>
      <c r="I15" s="19">
        <f>SUM(I4:I14)</f>
        <v/>
      </c>
      <c r="J15" s="19">
        <f>SUM(J4:J14)</f>
        <v/>
      </c>
      <c r="K15" s="19">
        <f>SUM(K4:K14)</f>
        <v/>
      </c>
    </row>
    <row r="17">
      <c r="A17" s="9" t="inlineStr">
        <is>
          <t>O valor por avaliação fica na célula amarela B2 — mude ali e toda a tabela recalcula. Só entram avaliações pagas. Linha de R$ 100 na folha conta como 2 avaliações. Avaliação de promoção não gera comissão.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O26"/>
  <sheetViews>
    <sheetView showGridLines="0" workbookViewId="0">
      <selection activeCell="A1" sqref="A1"/>
    </sheetView>
  </sheetViews>
  <sheetFormatPr baseColWidth="8" defaultRowHeight="15"/>
  <sheetData>
    <row r="2" ht="34" customHeight="1">
      <c r="B2" s="20" t="inlineStr">
        <is>
          <t>PAINEL DE AVALIAÇÕES 2026 — MAIS FIT</t>
        </is>
      </c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</row>
    <row r="4">
      <c r="N4" s="22" t="inlineStr">
        <is>
          <t>Dia da Semana</t>
        </is>
      </c>
      <c r="O4" s="22" t="inlineStr">
        <is>
          <t>Total</t>
        </is>
      </c>
    </row>
    <row r="5">
      <c r="N5" s="8" t="inlineStr">
        <is>
          <t>Segunda-feira</t>
        </is>
      </c>
      <c r="O5" s="8">
        <f>SUMIF(Diário_Avaliações!$C:$C,N5,Diário_Avaliações!$D:$D)</f>
        <v/>
      </c>
    </row>
    <row r="6">
      <c r="N6" s="8" t="inlineStr">
        <is>
          <t>Terça-feira</t>
        </is>
      </c>
      <c r="O6" s="8">
        <f>SUMIF(Diário_Avaliações!$C:$C,N6,Diário_Avaliações!$D:$D)</f>
        <v/>
      </c>
    </row>
    <row r="7">
      <c r="N7" s="8" t="inlineStr">
        <is>
          <t>Quarta-feira</t>
        </is>
      </c>
      <c r="O7" s="8">
        <f>SUMIF(Diário_Avaliações!$C:$C,N7,Diário_Avaliações!$D:$D)</f>
        <v/>
      </c>
    </row>
    <row r="8">
      <c r="N8" s="8" t="inlineStr">
        <is>
          <t>Quinta-feira</t>
        </is>
      </c>
      <c r="O8" s="8">
        <f>SUMIF(Diário_Avaliações!$C:$C,N8,Diário_Avaliações!$D:$D)</f>
        <v/>
      </c>
    </row>
    <row r="9">
      <c r="N9" s="8" t="inlineStr">
        <is>
          <t>Sexta-feira</t>
        </is>
      </c>
      <c r="O9" s="8">
        <f>SUMIF(Diário_Avaliações!$C:$C,N9,Diário_Avaliações!$D:$D)</f>
        <v/>
      </c>
    </row>
    <row r="10">
      <c r="N10" s="8" t="inlineStr">
        <is>
          <t>Sábado</t>
        </is>
      </c>
      <c r="O10" s="8">
        <f>SUMIF(Diário_Avaliações!$C:$C,N10,Diário_Avaliações!$D:$D)</f>
        <v/>
      </c>
    </row>
    <row r="11">
      <c r="N11" s="8" t="inlineStr">
        <is>
          <t>Domingo</t>
        </is>
      </c>
      <c r="O11" s="8">
        <f>SUMIF(Diário_Avaliações!$C:$C,N11,Diário_Avaliações!$D:$D)</f>
        <v/>
      </c>
    </row>
    <row r="14">
      <c r="N14" s="22" t="inlineStr">
        <is>
          <t>Professor</t>
        </is>
      </c>
      <c r="O14" s="22" t="inlineStr">
        <is>
          <t>Ano</t>
        </is>
      </c>
    </row>
    <row r="15">
      <c r="N15" s="8">
        <f>IF(OR(Diário_Avaliações!L$1="",Diário_Avaliações!L$1="(livre)"),"",Diário_Avaliações!L$1)</f>
        <v/>
      </c>
      <c r="O15" s="8">
        <f>IF(N15="","",Consolidado_Mensal!I$13)</f>
        <v/>
      </c>
    </row>
    <row r="16">
      <c r="N16" s="8">
        <f>IF(OR(Diário_Avaliações!M$1="",Diário_Avaliações!M$1="(livre)"),"",Diário_Avaliações!M$1)</f>
        <v/>
      </c>
      <c r="O16" s="8">
        <f>IF(N16="","",Consolidado_Mensal!J$13)</f>
        <v/>
      </c>
    </row>
    <row r="17">
      <c r="N17" s="8">
        <f>IF(OR(Diário_Avaliações!N$1="",Diário_Avaliações!N$1="(livre)"),"",Diário_Avaliações!N$1)</f>
        <v/>
      </c>
      <c r="O17" s="8">
        <f>IF(N17="","",Consolidado_Mensal!K$13)</f>
        <v/>
      </c>
    </row>
    <row r="18">
      <c r="N18" s="8">
        <f>IF(OR(Diário_Avaliações!O$1="",Diário_Avaliações!O$1="(livre)"),"",Diário_Avaliações!O$1)</f>
        <v/>
      </c>
      <c r="O18" s="8">
        <f>IF(N18="","",Consolidado_Mensal!L$13)</f>
        <v/>
      </c>
    </row>
    <row r="19">
      <c r="N19" s="8">
        <f>IF(OR(Diário_Avaliações!P$1="",Diário_Avaliações!P$1="(livre)"),"",Diário_Avaliações!P$1)</f>
        <v/>
      </c>
      <c r="O19" s="8">
        <f>IF(N19="","",Consolidado_Mensal!M$13)</f>
        <v/>
      </c>
    </row>
    <row r="20">
      <c r="N20" s="8">
        <f>IF(OR(Diário_Avaliações!Q$1="",Diário_Avaliações!Q$1="(livre)"),"",Diário_Avaliações!Q$1)</f>
        <v/>
      </c>
      <c r="O20" s="8">
        <f>IF(N20="","",Consolidado_Mensal!N$13)</f>
        <v/>
      </c>
    </row>
    <row r="21">
      <c r="N21" s="8">
        <f>IF(OR(Diário_Avaliações!R$1="",Diário_Avaliações!R$1="(livre)"),"",Diário_Avaliações!R$1)</f>
        <v/>
      </c>
      <c r="O21" s="8">
        <f>IF(N21="","",Consolidado_Mensal!O$13)</f>
        <v/>
      </c>
    </row>
    <row r="22">
      <c r="N22" s="8">
        <f>IF(OR(Diário_Avaliações!S$1="",Diário_Avaliações!S$1="(livre)"),"",Diário_Avaliações!S$1)</f>
        <v/>
      </c>
      <c r="O22" s="8">
        <f>IF(N22="","",Consolidado_Mensal!P$13)</f>
        <v/>
      </c>
    </row>
    <row r="24">
      <c r="N24" s="22" t="inlineStr">
        <is>
          <t>Gênero</t>
        </is>
      </c>
      <c r="O24" s="22" t="inlineStr">
        <is>
          <t>Ano</t>
        </is>
      </c>
    </row>
    <row r="25">
      <c r="N25" s="8" t="inlineStr">
        <is>
          <t>Mulheres</t>
        </is>
      </c>
      <c r="O25" s="8">
        <f>Consolidado_Mensal!G13</f>
        <v/>
      </c>
    </row>
    <row r="26">
      <c r="N26" s="8" t="inlineStr">
        <is>
          <t>Homens</t>
        </is>
      </c>
      <c r="O26" s="8">
        <f>Consolidado_Mensal!H13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3" t="inlineStr">
        <is>
          <t>COMO PREENCHER ESTA PLANILHA</t>
        </is>
      </c>
    </row>
    <row r="2">
      <c r="A2" s="24" t="inlineStr"/>
    </row>
    <row r="3">
      <c r="A3" s="24" t="inlineStr">
        <is>
          <t>1. Lance tudo na aba Diário_Avaliações, na linha da data. Mês, dia da semana, meta, % e faltas são automáticos (fundo cinza, não digite).</t>
        </is>
      </c>
    </row>
    <row r="4">
      <c r="A4" s="24" t="inlineStr">
        <is>
          <t>2. Quantidade Realizada = avaliações PAGAS do dia. Linha de R$ 100 na folha conta como 2 avaliações. Avaliação de promoção não entra aqui.</t>
        </is>
      </c>
    </row>
    <row r="5">
      <c r="A5" s="24" t="inlineStr">
        <is>
          <t>3. Preencha também o perfil (já matriculado / novo), o gênero (pelo nome do aluno na folha) e 1 na coluna do professor que atendeu.</t>
        </is>
      </c>
    </row>
    <row r="6">
      <c r="A6" s="24" t="inlineStr">
        <is>
          <t>4. A coluna Conferência avisa quando alguma soma não fecha com o total do dia. Se aparecer 'Verificar', corrija antes de mandar o KPI.</t>
        </is>
      </c>
    </row>
    <row r="7">
      <c r="A7" s="24" t="inlineStr">
        <is>
          <t>5. Professor novo: escreva o nome no cabeçalho de uma coluna amarela do Diário e o mesmo nome no Consolidado_Mensal. A soma vira automática.</t>
        </is>
      </c>
    </row>
    <row r="8">
      <c r="A8" s="24" t="inlineStr">
        <is>
          <t>6. Histórico_Manual guarda só o que não existe dia a dia (fevereiro a junho). O Consolidado soma o diário MAIS essa aba, então não repita valores lá.</t>
        </is>
      </c>
    </row>
    <row r="9">
      <c r="A9" s="24" t="inlineStr">
        <is>
          <t>7. Comissão: R$ 10 por avaliação paga, paga no mês seguinte. A aba Comissões calcula sozinha a partir do Consolidado.</t>
        </is>
      </c>
    </row>
    <row r="10">
      <c r="A10" s="24" t="inlineStr"/>
    </row>
    <row r="11">
      <c r="A11" s="23" t="inlineStr">
        <is>
          <t>O QUE EXISTE DE HISTÓRICO</t>
        </is>
      </c>
    </row>
    <row r="12">
      <c r="A12" s="24" t="inlineStr">
        <is>
          <t>Fevereiro: só o total do mês (29) e o total por professor. Sem diário, sem gênero, sem perfil.</t>
        </is>
      </c>
    </row>
    <row r="13">
      <c r="A13" s="24" t="inlineStr">
        <is>
          <t>Março, Abril e Maio: quantidade por dia no diário. Professor só no total do mês. Gênero só a partir de maio, e também só no total.</t>
        </is>
      </c>
    </row>
    <row r="14">
      <c r="A14" s="24" t="inlineStr">
        <is>
          <t>Junho: quantidade, gênero e perfil por dia. Professor no total do mês.</t>
        </is>
      </c>
    </row>
    <row r="15">
      <c r="A15" s="24" t="inlineStr">
        <is>
          <t>Julho: mês completo no diário, inclusive professor.</t>
        </is>
      </c>
    </row>
    <row r="16">
      <c r="A16" s="24" t="inlineStr">
        <is>
          <t>Agosto e Setembro: ainda a lançar.</t>
        </is>
      </c>
    </row>
    <row r="17">
      <c r="A17" s="24" t="inlineStr"/>
    </row>
    <row r="18">
      <c r="A18" s="23" t="inlineStr">
        <is>
          <t>PENDÊNCIAS CONHECIDAS</t>
        </is>
      </c>
    </row>
    <row r="19">
      <c r="A19" s="24" t="inlineStr">
        <is>
          <t>Março: dos 49 do mês, 44 têm professor identificado. Abril: 49 de 50.</t>
        </is>
      </c>
    </row>
    <row r="20">
      <c r="A20" s="24" t="inlineStr">
        <is>
          <t>Promoção de julho (pacote semestral e anual) fica fora desta planilha. Controle separado.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2026-09-18T17:20:33Z</dcterms:created>
  <dcterms:modified xmlns:dcterms="http://purl.org/dc/terms/" xmlns:xsi="http://www.w3.org/2001/XMLSchema-instance" xsi:type="dcterms:W3CDTF">2026-09-18T17:20:33Z</dcterms:modified>
</cp:coreProperties>
</file>